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structor\Desktop\"/>
    </mc:Choice>
  </mc:AlternateContent>
  <xr:revisionPtr revIDLastSave="0" documentId="13_ncr:1_{BCE99317-578E-4FCF-A687-9DD8C3B671D2}" xr6:coauthVersionLast="36" xr6:coauthVersionMax="47" xr10:uidLastSave="{00000000-0000-0000-0000-000000000000}"/>
  <bookViews>
    <workbookView xWindow="-120" yWindow="-120" windowWidth="20736" windowHeight="11160" xr2:uid="{304DCD37-B1A3-450F-B3AE-195C33F06F1D}"/>
  </bookViews>
  <sheets>
    <sheet name="PROYECTOS" sheetId="10" r:id="rId1"/>
    <sheet name="1-IMPLEMENTACIÓN - RAP 1" sheetId="5" r:id="rId2"/>
    <sheet name="2-DESARROLLAR SOLUCIÓN - RAP 3" sheetId="1" r:id="rId3"/>
    <sheet name="3-IMPLEMENTACIÓN - RAP 2" sheetId="6" r:id="rId4"/>
    <sheet name="4-IMPLEMENTACIÓN - RAP 3" sheetId="7" r:id="rId5"/>
    <sheet name="5-IMPLEMENTACIÓN - RAP 4" sheetId="8" r:id="rId6"/>
    <sheet name="6-CONTROLAR LA CALIDAD - RAP 2" sheetId="3" r:id="rId7"/>
    <sheet name="7-CONTROLAR LA CALIDAD - RAP 1" sheetId="2" r:id="rId8"/>
    <sheet name="8-CONTROLAR LA CALIDAD - RAP 3" sheetId="4" r:id="rId9"/>
    <sheet name="PLAN RAPS ÚLTIMO TRIMESTRE ADSO" sheetId="9" r:id="rId10"/>
    <sheet name="Hoja1" sheetId="11" r:id="rId11"/>
  </sheets>
  <definedNames>
    <definedName name="_xlnm._FilterDatabase" localSheetId="2" hidden="1">'2-DESARROLLAR SOLUCIÓN - RAP 3'!$A$11:$M$25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4" l="1"/>
  <c r="F12" i="4" s="1"/>
  <c r="H12" i="4" s="1"/>
  <c r="J12" i="4" s="1"/>
  <c r="L12" i="4" s="1"/>
  <c r="D13" i="4"/>
  <c r="F13" i="4" s="1"/>
  <c r="H13" i="4" s="1"/>
  <c r="J13" i="4" s="1"/>
  <c r="L13" i="4" s="1"/>
  <c r="D14" i="4"/>
  <c r="F14" i="4" s="1"/>
  <c r="H14" i="4" s="1"/>
  <c r="J14" i="4" s="1"/>
  <c r="L14" i="4" s="1"/>
  <c r="D15" i="4"/>
  <c r="F15" i="4" s="1"/>
  <c r="H15" i="4" s="1"/>
  <c r="J15" i="4" s="1"/>
  <c r="L15" i="4" s="1"/>
  <c r="D16" i="4"/>
  <c r="F16" i="4" s="1"/>
  <c r="H16" i="4" s="1"/>
  <c r="J16" i="4" s="1"/>
  <c r="L16" i="4" s="1"/>
  <c r="D17" i="4"/>
  <c r="F17" i="4"/>
  <c r="H17" i="4" s="1"/>
  <c r="J17" i="4" s="1"/>
  <c r="L17" i="4" s="1"/>
  <c r="D18" i="4"/>
  <c r="F18" i="4"/>
  <c r="H18" i="4" s="1"/>
  <c r="J18" i="4" s="1"/>
  <c r="L18" i="4" s="1"/>
  <c r="D19" i="4"/>
  <c r="F19" i="4" s="1"/>
  <c r="H19" i="4" s="1"/>
  <c r="J19" i="4" s="1"/>
  <c r="L19" i="4" s="1"/>
  <c r="D20" i="4"/>
  <c r="F20" i="4"/>
  <c r="H20" i="4"/>
  <c r="J20" i="4" s="1"/>
  <c r="L20" i="4" s="1"/>
  <c r="D21" i="4"/>
  <c r="F21" i="4" s="1"/>
  <c r="H21" i="4" s="1"/>
  <c r="J21" i="4" s="1"/>
  <c r="L21" i="4" s="1"/>
  <c r="D22" i="4"/>
  <c r="F22" i="4" s="1"/>
  <c r="H22" i="4" s="1"/>
  <c r="J22" i="4" s="1"/>
  <c r="L22" i="4" s="1"/>
  <c r="D23" i="4"/>
  <c r="F23" i="4" s="1"/>
  <c r="H23" i="4" s="1"/>
  <c r="J23" i="4" s="1"/>
  <c r="L23" i="4" s="1"/>
  <c r="D24" i="4"/>
  <c r="F24" i="4"/>
  <c r="H24" i="4"/>
  <c r="J24" i="4" s="1"/>
  <c r="L24" i="4" s="1"/>
  <c r="D25" i="4"/>
  <c r="F25" i="4"/>
  <c r="H25" i="4" s="1"/>
  <c r="J25" i="4" s="1"/>
  <c r="L25" i="4" s="1"/>
  <c r="D11" i="4"/>
  <c r="F11" i="4" s="1"/>
  <c r="H11" i="4" s="1"/>
  <c r="J11" i="4" s="1"/>
  <c r="L11" i="4" s="1"/>
  <c r="D13" i="2"/>
  <c r="F13" i="2"/>
  <c r="H13" i="2" s="1"/>
  <c r="J13" i="2" s="1"/>
  <c r="L13" i="2" s="1"/>
  <c r="D14" i="2"/>
  <c r="F14" i="2"/>
  <c r="H14" i="2"/>
  <c r="J14" i="2" s="1"/>
  <c r="L14" i="2" s="1"/>
  <c r="D15" i="2"/>
  <c r="F15" i="2"/>
  <c r="H15" i="2"/>
  <c r="J15" i="2"/>
  <c r="L15" i="2"/>
  <c r="D16" i="2"/>
  <c r="F16" i="2" s="1"/>
  <c r="H16" i="2" s="1"/>
  <c r="J16" i="2" s="1"/>
  <c r="L16" i="2" s="1"/>
  <c r="D17" i="2"/>
  <c r="F17" i="2"/>
  <c r="H17" i="2"/>
  <c r="J17" i="2"/>
  <c r="L17" i="2" s="1"/>
  <c r="D18" i="2"/>
  <c r="F18" i="2" s="1"/>
  <c r="H18" i="2" s="1"/>
  <c r="J18" i="2" s="1"/>
  <c r="L18" i="2" s="1"/>
  <c r="D19" i="2"/>
  <c r="F19" i="2"/>
  <c r="H19" i="2" s="1"/>
  <c r="J19" i="2" s="1"/>
  <c r="L19" i="2" s="1"/>
  <c r="D20" i="2"/>
  <c r="F20" i="2"/>
  <c r="H20" i="2"/>
  <c r="J20" i="2"/>
  <c r="L20" i="2"/>
  <c r="D21" i="2"/>
  <c r="F21" i="2"/>
  <c r="H21" i="2" s="1"/>
  <c r="J21" i="2" s="1"/>
  <c r="L21" i="2" s="1"/>
  <c r="D22" i="2"/>
  <c r="F22" i="2"/>
  <c r="H22" i="2"/>
  <c r="J22" i="2" s="1"/>
  <c r="L22" i="2" s="1"/>
  <c r="D23" i="2"/>
  <c r="F23" i="2"/>
  <c r="H23" i="2"/>
  <c r="J23" i="2"/>
  <c r="L23" i="2"/>
  <c r="D24" i="2"/>
  <c r="F24" i="2" s="1"/>
  <c r="H24" i="2" s="1"/>
  <c r="J24" i="2" s="1"/>
  <c r="L24" i="2" s="1"/>
  <c r="D25" i="2"/>
  <c r="F25" i="2"/>
  <c r="H25" i="2"/>
  <c r="J25" i="2"/>
  <c r="L25" i="2" s="1"/>
  <c r="D26" i="2"/>
  <c r="F26" i="2" s="1"/>
  <c r="H26" i="2" s="1"/>
  <c r="J26" i="2" s="1"/>
  <c r="L26" i="2" s="1"/>
  <c r="H12" i="2"/>
  <c r="J12" i="2"/>
  <c r="L12" i="2" s="1"/>
  <c r="F12" i="2"/>
  <c r="D12" i="2"/>
  <c r="F13" i="3"/>
  <c r="H13" i="3" s="1"/>
  <c r="J13" i="3" s="1"/>
  <c r="L13" i="3" s="1"/>
  <c r="F14" i="3"/>
  <c r="H14" i="3" s="1"/>
  <c r="J14" i="3" s="1"/>
  <c r="L14" i="3" s="1"/>
  <c r="F15" i="3"/>
  <c r="H15" i="3" s="1"/>
  <c r="J15" i="3" s="1"/>
  <c r="L15" i="3" s="1"/>
  <c r="F16" i="3"/>
  <c r="H16" i="3" s="1"/>
  <c r="J16" i="3" s="1"/>
  <c r="L16" i="3" s="1"/>
  <c r="F17" i="3"/>
  <c r="H17" i="3" s="1"/>
  <c r="J17" i="3" s="1"/>
  <c r="L17" i="3" s="1"/>
  <c r="F18" i="3"/>
  <c r="H18" i="3" s="1"/>
  <c r="J18" i="3" s="1"/>
  <c r="L18" i="3" s="1"/>
  <c r="F19" i="3"/>
  <c r="H19" i="3" s="1"/>
  <c r="J19" i="3" s="1"/>
  <c r="L19" i="3" s="1"/>
  <c r="F20" i="3"/>
  <c r="H20" i="3" s="1"/>
  <c r="J20" i="3" s="1"/>
  <c r="L20" i="3" s="1"/>
  <c r="F21" i="3"/>
  <c r="H21" i="3" s="1"/>
  <c r="J21" i="3" s="1"/>
  <c r="L21" i="3" s="1"/>
  <c r="F22" i="3"/>
  <c r="H22" i="3" s="1"/>
  <c r="J22" i="3" s="1"/>
  <c r="L22" i="3" s="1"/>
  <c r="F23" i="3"/>
  <c r="H23" i="3" s="1"/>
  <c r="J23" i="3" s="1"/>
  <c r="L23" i="3" s="1"/>
  <c r="F24" i="3"/>
  <c r="H24" i="3" s="1"/>
  <c r="J24" i="3" s="1"/>
  <c r="L24" i="3" s="1"/>
  <c r="F25" i="3"/>
  <c r="H25" i="3" s="1"/>
  <c r="J25" i="3" s="1"/>
  <c r="L25" i="3" s="1"/>
  <c r="F26" i="3"/>
  <c r="H26" i="3" s="1"/>
  <c r="J26" i="3" s="1"/>
  <c r="L26" i="3" s="1"/>
  <c r="J12" i="3"/>
  <c r="L12" i="3" s="1"/>
  <c r="H12" i="3"/>
  <c r="F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12" i="3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12" i="8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D13" i="7"/>
  <c r="F13" i="7" s="1"/>
  <c r="D14" i="7"/>
  <c r="F14" i="7" s="1"/>
  <c r="D15" i="7"/>
  <c r="D16" i="7"/>
  <c r="D17" i="7"/>
  <c r="F17" i="7" s="1"/>
  <c r="D18" i="7"/>
  <c r="F18" i="7" s="1"/>
  <c r="D19" i="7"/>
  <c r="D20" i="7"/>
  <c r="D21" i="7"/>
  <c r="F21" i="7" s="1"/>
  <c r="D22" i="7"/>
  <c r="F22" i="7" s="1"/>
  <c r="D23" i="7"/>
  <c r="D24" i="7"/>
  <c r="D25" i="7"/>
  <c r="F25" i="7" s="1"/>
  <c r="D26" i="7"/>
  <c r="F26" i="7" s="1"/>
  <c r="F15" i="7"/>
  <c r="F16" i="7"/>
  <c r="F19" i="7"/>
  <c r="F20" i="7"/>
  <c r="F23" i="7"/>
  <c r="F24" i="7"/>
  <c r="L12" i="7"/>
  <c r="J12" i="7"/>
  <c r="H12" i="7"/>
  <c r="F12" i="7"/>
  <c r="D12" i="7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12" i="6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12" i="1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12" i="5"/>
</calcChain>
</file>

<file path=xl/sharedStrings.xml><?xml version="1.0" encoding="utf-8"?>
<sst xmlns="http://schemas.openxmlformats.org/spreadsheetml/2006/main" count="516" uniqueCount="140">
  <si>
    <t>Ficha</t>
  </si>
  <si>
    <t>Fase</t>
  </si>
  <si>
    <t>Competencia</t>
  </si>
  <si>
    <t>PLAN DE TRABAJO</t>
  </si>
  <si>
    <t>N°</t>
  </si>
  <si>
    <t>Doc</t>
  </si>
  <si>
    <t>Nombre</t>
  </si>
  <si>
    <t>FECHA</t>
  </si>
  <si>
    <t>A/D</t>
  </si>
  <si>
    <t xml:space="preserve"> To Analisis y Desarrollo de Software</t>
  </si>
  <si>
    <t>Instructor</t>
  </si>
  <si>
    <t>ACTIVIDAD 1</t>
  </si>
  <si>
    <t>ACTIVIDAD 2</t>
  </si>
  <si>
    <t>ACTIVIDAD 3</t>
  </si>
  <si>
    <t>ACTIVIDAD 4</t>
  </si>
  <si>
    <t>ACTIVIDAD 5</t>
  </si>
  <si>
    <t xml:space="preserve">Proyecto final con toda la documentacion </t>
  </si>
  <si>
    <t>CARLOS STIVER JAUREGUI JIMENEZ</t>
  </si>
  <si>
    <t>DAVID SEBASTIAN MARTINEZ CHAVES</t>
  </si>
  <si>
    <t>DOYLER AMILKAR LASTRE REINEL</t>
  </si>
  <si>
    <t>FRANZ ANDERSON VALERO GOMEZ</t>
  </si>
  <si>
    <t>GERSON LEVI AZA ORTIZ</t>
  </si>
  <si>
    <t>JHON STEVEN DELGADO MUÑOZ</t>
  </si>
  <si>
    <t>JHOSEPH SAMUEL MARTINEZ GIL</t>
  </si>
  <si>
    <t>JUAN DAVID CABALLERO FUENTES</t>
  </si>
  <si>
    <t>JUAN ESTEBAN BARRIOS BAUTISTA</t>
  </si>
  <si>
    <t>JUAN SEBASTIAN DURAN CORZO</t>
  </si>
  <si>
    <t>LEONAR FABIAN ARIZA SOTO</t>
  </si>
  <si>
    <t>MAIRA ALEJANDRA SIERRA DAVID</t>
  </si>
  <si>
    <t>NEIL SAID MALDONADO SANTIAGO</t>
  </si>
  <si>
    <t>NICOLAS VALENZUELA ASCANIO</t>
  </si>
  <si>
    <t>YULVIN SANTIAGO CALDERON SIERRA</t>
  </si>
  <si>
    <t>CARLOS EDUARDO PEREZ RUEDA</t>
  </si>
  <si>
    <t>Evaluación</t>
  </si>
  <si>
    <t>38368 - DESARROLLAR LA SOLUCIÓN DE SOFTWARE DE ACUERDO CON EL DISEÑO Y METODOLOGÍAS DE DESARROLLO</t>
  </si>
  <si>
    <t>Resultado Aprendizaje</t>
  </si>
  <si>
    <t>593105 - 05  REALIZAR PRUEBAS AL SOFTWARE PARA VERIFICAR SU FUNCIONALIDAD.</t>
  </si>
  <si>
    <t>SERVICIO NACIONAL DE APRENDIZAJE
REGIONAL SANTANDER - CENTRO DE SERVICIOS EMPRESARIALES Y TURÍSTICOS
TECNOLOGÍA EN ANÁLISIS Y DESARROLLO DE SOFTWARE - ADSO
DESARROLLAR SOLUCIÓN, CONTROLAR LA CALIDAD E IMPLEMENTAR LA LA SOLUCIÓN DE SOFTWARE
2026</t>
  </si>
  <si>
    <t>38369 - Controlar la calidad del servicio de software de acuerdo con los estándares técnicos</t>
  </si>
  <si>
    <t>593146 - 01  INCORPORAR ACTIVIDADES DE ASEGURAMIENTO DE LA CALIDAD DEL SOFTWARE DE ACUERDO CON ESTÁNDARES DE LA INDUSTRIA.</t>
  </si>
  <si>
    <t>593144 - 02  VERIFICAR LA CALIDAD DEL SOFTWARE DE ACUERDO CON LAS PRÁCTICAS ASOCIADAS EN LOS PROCESOS DE DESARROLLO.</t>
  </si>
  <si>
    <t>593145 - 03  REALIZAR ACTIVIDADES DE MEJORA DE LA CALIDAD DEL SOFTWARE A PARTIR DE LOS RESULTADOS DE LA VERIFICACIÓN.</t>
  </si>
  <si>
    <t>38356 - Implementar la solución de software de acuerdo con los requisitos de operación y modelos de referencia</t>
  </si>
  <si>
    <t>593111 - 01  PLANEAR ACTIVIDADES DE IMPLANTACIÓN DEL SOFTWARE DE ACUERDO CON LAS CONDICIONES DEL SISTEMA.</t>
  </si>
  <si>
    <t>593110 - 02  DESPLEGAR EL SOFTWARE DE ACUERDO CON LA ARQUITECTURA Y LAS POLÍTICAS ESTABLECIDAS.</t>
  </si>
  <si>
    <t>593109 - 03  DOCUMENTAR EL PROCESO DE IMPLANTACIÓN DE SOFTWARE SIGUIENDO ESTÁNDARES DE CALIDAD.</t>
  </si>
  <si>
    <t>593112 - 04  IMPLANTAR EL SOFTWARE DE ACUERDO CON LOS NIVELES DE SERVICIO ESTABLECIDOS CON EL CLIENTE.</t>
  </si>
  <si>
    <t>Presentación Audiovisual para Ponencia</t>
  </si>
  <si>
    <t>Ponencia Final Proyecto</t>
  </si>
  <si>
    <t>Estructura Final en Arquitectura Cliente/Servidor</t>
  </si>
  <si>
    <t>Prueba de Conocimiento</t>
  </si>
  <si>
    <t>Prueba de Desempeño</t>
  </si>
  <si>
    <t>Ponencia Parcial Proyecto</t>
  </si>
  <si>
    <t>Manual Técnico y Diccionario de Datos</t>
  </si>
  <si>
    <t>Manual de usuario
(Tutorial)</t>
  </si>
  <si>
    <t>Revisión y Aprobación FRONT END</t>
  </si>
  <si>
    <t>Revisión y Aprobación BACK END</t>
  </si>
  <si>
    <t>Preparación de Solución en Ambiente C/S</t>
  </si>
  <si>
    <t>Pruebas de Funcionalidad General</t>
  </si>
  <si>
    <t>Requisitos Legales DNDA</t>
  </si>
  <si>
    <t>Pruebas Caja Negra</t>
  </si>
  <si>
    <t>Pruebas Caja Blanca</t>
  </si>
  <si>
    <t>Pruebas Rendimiento y Estrés</t>
  </si>
  <si>
    <t>COMPETENCIA</t>
  </si>
  <si>
    <t>RAP</t>
  </si>
  <si>
    <t>#</t>
  </si>
  <si>
    <t>ACTIVIDADES PLAN DE TRABAJO EVIDENCIAS</t>
  </si>
  <si>
    <r>
      <t xml:space="preserve">Evidencias de desempeño: Diseñar plan de mantenimiento y soporte del </t>
    </r>
    <r>
      <rPr>
        <i/>
        <sz val="8"/>
        <color rgb="FF000000"/>
        <rFont val="Arial"/>
        <family val="2"/>
      </rPr>
      <t>software</t>
    </r>
    <r>
      <rPr>
        <sz val="8"/>
        <color rgb="FF000000"/>
        <rFont val="Arial"/>
        <family val="2"/>
      </rPr>
      <t>.</t>
    </r>
  </si>
  <si>
    <t>Evidencias de producto: Documentar la Presentación para Ponencia Parcial</t>
  </si>
  <si>
    <r>
      <t xml:space="preserve">Evidencias de producto: Elabora documentos técnicos y de usuario del </t>
    </r>
    <r>
      <rPr>
        <i/>
        <sz val="8"/>
        <color rgb="FF000000"/>
        <rFont val="Arial"/>
        <family val="2"/>
      </rPr>
      <t>software</t>
    </r>
    <r>
      <rPr>
        <sz val="8"/>
        <color rgb="FF000000"/>
        <rFont val="Arial"/>
        <family val="2"/>
      </rPr>
      <t>.</t>
    </r>
  </si>
  <si>
    <t>Planeación de Pruebas</t>
  </si>
  <si>
    <t>Pruebas de Caja Negra</t>
  </si>
  <si>
    <t>Pruebas de Caja Blanca</t>
  </si>
  <si>
    <t>Informe de Elaboración y Resultado de Pruebas</t>
  </si>
  <si>
    <t>Evidencia de conocimiento: Conceptos y principios acerca de configuración se servicios.</t>
  </si>
  <si>
    <r>
      <t xml:space="preserve">Evidencia de desempeño: Realiza la configuración de servicios, bases de datos y </t>
    </r>
    <r>
      <rPr>
        <i/>
        <sz val="8"/>
        <color rgb="FF000000"/>
        <rFont val="Arial"/>
        <family val="2"/>
      </rPr>
      <t xml:space="preserve">software </t>
    </r>
    <r>
      <rPr>
        <sz val="8"/>
        <color rgb="FF000000"/>
        <rFont val="Arial"/>
        <family val="2"/>
      </rPr>
      <t>en el equipo del cliente.</t>
    </r>
  </si>
  <si>
    <t>Evidencias de producto: Archivos cargados en la plataforma de producción.</t>
  </si>
  <si>
    <r>
      <t xml:space="preserve">Evidencia de desempeño: Realización de pruebas de funcionalidad del </t>
    </r>
    <r>
      <rPr>
        <i/>
        <sz val="8"/>
        <color rgb="FF000000"/>
        <rFont val="Arial"/>
        <family val="2"/>
      </rPr>
      <t>software</t>
    </r>
    <r>
      <rPr>
        <sz val="8"/>
        <color rgb="FF000000"/>
        <rFont val="Arial"/>
        <family val="2"/>
      </rPr>
      <t>.</t>
    </r>
  </si>
  <si>
    <r>
      <t xml:space="preserve">Evidencia de conocimiento: Conceptos y principios de </t>
    </r>
    <r>
      <rPr>
        <i/>
        <sz val="8"/>
        <color rgb="FF000000"/>
        <rFont val="Arial"/>
        <family val="2"/>
      </rPr>
      <t>hardware</t>
    </r>
    <r>
      <rPr>
        <sz val="8"/>
        <color rgb="FF000000"/>
        <rFont val="Arial"/>
        <family val="2"/>
      </rPr>
      <t xml:space="preserve"> e instalación de </t>
    </r>
    <r>
      <rPr>
        <i/>
        <sz val="8"/>
        <color rgb="FF000000"/>
        <rFont val="Arial"/>
        <family val="2"/>
      </rPr>
      <t>software</t>
    </r>
    <r>
      <rPr>
        <sz val="8"/>
        <color rgb="FF000000"/>
        <rFont val="Arial"/>
        <family val="2"/>
      </rPr>
      <t>.</t>
    </r>
  </si>
  <si>
    <r>
      <t xml:space="preserve">Evidencia de desempeño: Elaborar plan de validación de características mínimas de </t>
    </r>
    <r>
      <rPr>
        <i/>
        <sz val="8"/>
        <color rgb="FF000000"/>
        <rFont val="Arial"/>
        <family val="2"/>
      </rPr>
      <t>hardware</t>
    </r>
    <r>
      <rPr>
        <sz val="8"/>
        <color rgb="FF000000"/>
        <rFont val="Arial"/>
        <family val="2"/>
      </rPr>
      <t xml:space="preserve"> para el </t>
    </r>
    <r>
      <rPr>
        <i/>
        <sz val="8"/>
        <color rgb="FF000000"/>
        <rFont val="Arial"/>
        <family val="2"/>
      </rPr>
      <t>software</t>
    </r>
    <r>
      <rPr>
        <sz val="8"/>
        <color rgb="FF000000"/>
        <rFont val="Arial"/>
        <family val="2"/>
      </rPr>
      <t>.</t>
    </r>
  </si>
  <si>
    <r>
      <t xml:space="preserve">Evidencias de producto: </t>
    </r>
    <r>
      <rPr>
        <i/>
        <sz val="8"/>
        <color rgb="FF000000"/>
        <rFont val="Arial"/>
        <family val="2"/>
      </rPr>
      <t xml:space="preserve">Software </t>
    </r>
    <r>
      <rPr>
        <sz val="8"/>
        <color rgb="FF000000"/>
        <rFont val="Arial"/>
        <family val="2"/>
      </rPr>
      <t>instalado en la plataforma del cliente.</t>
    </r>
  </si>
  <si>
    <r>
      <t xml:space="preserve">Evidencias de producto: Elabora el manual de usuario de acuerdo con las funcionalidades del </t>
    </r>
    <r>
      <rPr>
        <i/>
        <sz val="8"/>
        <color rgb="FF000000"/>
        <rFont val="Arial"/>
        <family val="2"/>
      </rPr>
      <t>software.</t>
    </r>
  </si>
  <si>
    <t>Evidencias de desempeño: Elabora plan de capacitación y realización de pruebas de aceptación del cliente.</t>
  </si>
  <si>
    <r>
      <t xml:space="preserve">Evidencias de producto: Documentación plan de capacitación y acta de entrega del proyecto de </t>
    </r>
    <r>
      <rPr>
        <i/>
        <sz val="8"/>
        <color rgb="FF000000"/>
        <rFont val="Arial"/>
        <family val="2"/>
      </rPr>
      <t>software</t>
    </r>
    <r>
      <rPr>
        <sz val="8"/>
        <color rgb="FF000000"/>
        <rFont val="Arial"/>
        <family val="2"/>
      </rPr>
      <t>.</t>
    </r>
  </si>
  <si>
    <r>
      <t xml:space="preserve">Evidencias de desempeño: Creación de informe con los resultados del comportamiento del </t>
    </r>
    <r>
      <rPr>
        <i/>
        <sz val="8"/>
        <color rgb="FF000000"/>
        <rFont val="Arial"/>
        <family val="2"/>
      </rPr>
      <t>software.</t>
    </r>
  </si>
  <si>
    <r>
      <t xml:space="preserve">Evidencias de producto: Realizar informe de las experiencias aprendidas en el proceso de verificación del </t>
    </r>
    <r>
      <rPr>
        <i/>
        <sz val="8"/>
        <color rgb="FF000000"/>
        <rFont val="Arial"/>
        <family val="2"/>
      </rPr>
      <t>software.</t>
    </r>
  </si>
  <si>
    <t>Evidencias de desempeño: Realiza ajustes en los procesos de desarrollo.</t>
  </si>
  <si>
    <r>
      <t xml:space="preserve">Evidencias de producto: Documento con las verificaciones de condiciones de calidad del producto de </t>
    </r>
    <r>
      <rPr>
        <i/>
        <sz val="8"/>
        <color rgb="FF000000"/>
        <rFont val="Arial"/>
        <family val="2"/>
      </rPr>
      <t xml:space="preserve">software </t>
    </r>
    <r>
      <rPr>
        <sz val="8"/>
        <color rgb="FF000000"/>
        <rFont val="Arial"/>
        <family val="2"/>
      </rPr>
      <t>ajustado.</t>
    </r>
  </si>
  <si>
    <r>
      <t xml:space="preserve">Evidencias de conocimiento: Infografía procesos de desarrollo del </t>
    </r>
    <r>
      <rPr>
        <i/>
        <sz val="8"/>
        <color rgb="FF000000"/>
        <rFont val="Arial"/>
        <family val="2"/>
      </rPr>
      <t>software.</t>
    </r>
  </si>
  <si>
    <r>
      <t xml:space="preserve"> Evidencias de desempeño: Aplicación de buenas prácticas de calidad documentadas en las disciplinas de calidad de </t>
    </r>
    <r>
      <rPr>
        <i/>
        <sz val="8"/>
        <color rgb="FF000000"/>
        <rFont val="Arial"/>
        <family val="2"/>
      </rPr>
      <t>software.</t>
    </r>
  </si>
  <si>
    <r>
      <t xml:space="preserve">Evidencias de desempeño: Diseño y diligenciamiento de instrumentos para documentar procesos de calidad del </t>
    </r>
    <r>
      <rPr>
        <i/>
        <sz val="8"/>
        <color rgb="FF000000"/>
        <rFont val="Arial"/>
        <family val="2"/>
      </rPr>
      <t>software</t>
    </r>
    <r>
      <rPr>
        <sz val="8"/>
        <color rgb="FF000000"/>
        <rFont val="Arial"/>
        <family val="2"/>
      </rPr>
      <t>.</t>
    </r>
  </si>
  <si>
    <t xml:space="preserve"> Evidencias de producto: Bitácoras con los procesos documentados.</t>
  </si>
  <si>
    <t>ORDEN</t>
  </si>
  <si>
    <t>Planear las Pruebas (Informe)</t>
  </si>
  <si>
    <t>Informe de Elaboración y Resultado</t>
  </si>
  <si>
    <t>Informe de calidad norma IEEE830</t>
  </si>
  <si>
    <t>Informe de UX</t>
  </si>
  <si>
    <t>Ponencia Parcial de Proyecto</t>
  </si>
  <si>
    <t>Diseño y diligenciamiento de instrumentos para documentar procesos de calidad del software.</t>
  </si>
  <si>
    <t>Realizar ajustes en los procesos de desarrollo.</t>
  </si>
  <si>
    <t>Documento con las verificaciones de condiciones de calidad del producto de software ajustado.</t>
  </si>
  <si>
    <t>Evidencias de producto: Bitácoras con los procesos documentados.</t>
  </si>
  <si>
    <t>Planeación Plan de Mantenimiento y Garantía de Producto Entregable</t>
  </si>
  <si>
    <t>A</t>
  </si>
  <si>
    <t>NOMBRE</t>
  </si>
  <si>
    <t>INTEGRANTES</t>
  </si>
  <si>
    <t>SPECIALIZED</t>
  </si>
  <si>
    <t>ALCANCE</t>
  </si>
  <si>
    <t>Gestión estandarizado de Inventarios</t>
  </si>
  <si>
    <t>Avance</t>
  </si>
  <si>
    <t>SERVICIO NACIONAL DE APRENDIZAJE
CENTRO DE SERVICIOS EMPRESARIALES Y TURÍSTICOS
ANÁLISIS Y DESARROLLO DE SOFTWARE - ADSO
GRUPO 2993128</t>
  </si>
  <si>
    <t>RDWATCH</t>
  </si>
  <si>
    <t>Sistema de gestión de trading de relojería</t>
  </si>
  <si>
    <t>MAICONNECT</t>
  </si>
  <si>
    <t>Sistema de gestión de trading de MaiShop</t>
  </si>
  <si>
    <t>DINARES</t>
  </si>
  <si>
    <t>Sistema de gestión de restaurante Panachis</t>
  </si>
  <si>
    <t>PENDIENTE</t>
  </si>
  <si>
    <t>Algún ára del Calzado</t>
  </si>
  <si>
    <t>CONVERLANG</t>
  </si>
  <si>
    <t>Sistema de gestión de aprendizaje de idiomas</t>
  </si>
  <si>
    <t>VIVA</t>
  </si>
  <si>
    <t>BUCARABUS</t>
  </si>
  <si>
    <t>DEDUMSOFT</t>
  </si>
  <si>
    <t>PROTEGO</t>
  </si>
  <si>
    <t>Sistema de Trading Artesanal</t>
  </si>
  <si>
    <t>Sistema de gestión de rutas de bus urbano</t>
  </si>
  <si>
    <t>Sistema de gestión de orfebrería</t>
  </si>
  <si>
    <t>D</t>
  </si>
  <si>
    <t>TESTING</t>
  </si>
  <si>
    <t>Prueba</t>
  </si>
  <si>
    <t>REQUERIMIENTOS</t>
  </si>
  <si>
    <t>CASOS DE USO</t>
  </si>
  <si>
    <t>MODELO RELACIONAL</t>
  </si>
  <si>
    <t>CÓDIGO FTE.</t>
  </si>
  <si>
    <t>STORED PROC.</t>
  </si>
  <si>
    <t>SEGURIDAD</t>
  </si>
  <si>
    <t>DOCUMENTACIÓN</t>
  </si>
  <si>
    <t>DISEÑO</t>
  </si>
  <si>
    <t>Sistema de gestión SST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</si>
</sst>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7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b/>
      <sz val="8"/>
      <color indexed="8"/>
      <name val="Arial"/>
      <family val="2"/>
    </font>
    <font>
      <sz val="8"/>
      <color rgb="FF000000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</font>
    <font>
      <sz val="8"/>
      <color indexed="8"/>
      <name val="Arial"/>
      <family val="2"/>
    </font>
    <font>
      <b/>
      <sz val="8"/>
      <color theme="1"/>
      <name val="Arial"/>
      <family val="2"/>
    </font>
    <font>
      <i/>
      <sz val="8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3" fillId="0" borderId="0"/>
    <xf numFmtId="43" fontId="7" fillId="0" borderId="0" applyFont="0" applyFill="0" applyBorder="0" applyAlignment="0" applyProtection="0"/>
    <xf numFmtId="0" fontId="9" fillId="0" borderId="0"/>
    <xf numFmtId="9" fontId="7" fillId="0" borderId="0" applyFont="0" applyFill="0" applyBorder="0" applyAlignment="0" applyProtection="0"/>
  </cellStyleXfs>
  <cellXfs count="171">
    <xf numFmtId="0" fontId="0" fillId="0" borderId="0" xfId="0"/>
    <xf numFmtId="0" fontId="4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1" fillId="2" borderId="3" xfId="1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4" borderId="7" xfId="1" applyFont="1" applyFill="1" applyBorder="1" applyAlignment="1">
      <alignment horizontal="center" vertical="center"/>
    </xf>
    <xf numFmtId="0" fontId="2" fillId="4" borderId="8" xfId="1" applyFont="1" applyFill="1" applyBorder="1" applyAlignment="1">
      <alignment horizontal="center" vertical="center"/>
    </xf>
    <xf numFmtId="0" fontId="4" fillId="0" borderId="1" xfId="0" applyFont="1" applyBorder="1"/>
    <xf numFmtId="0" fontId="2" fillId="3" borderId="8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14" fontId="1" fillId="2" borderId="1" xfId="0" applyNumberFormat="1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 vertical="center"/>
    </xf>
    <xf numFmtId="0" fontId="4" fillId="0" borderId="12" xfId="0" applyFont="1" applyBorder="1"/>
    <xf numFmtId="0" fontId="1" fillId="3" borderId="1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14" fontId="1" fillId="2" borderId="16" xfId="0" applyNumberFormat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top" wrapText="1"/>
    </xf>
    <xf numFmtId="14" fontId="1" fillId="2" borderId="4" xfId="0" applyNumberFormat="1" applyFont="1" applyFill="1" applyBorder="1" applyAlignment="1">
      <alignment horizontal="center"/>
    </xf>
    <xf numFmtId="14" fontId="1" fillId="2" borderId="4" xfId="0" applyNumberFormat="1" applyFont="1" applyFill="1" applyBorder="1" applyAlignment="1">
      <alignment horizontal="center" vertical="center"/>
    </xf>
    <xf numFmtId="14" fontId="1" fillId="2" borderId="17" xfId="0" applyNumberFormat="1" applyFont="1" applyFill="1" applyBorder="1" applyAlignment="1">
      <alignment horizontal="center" vertical="center"/>
    </xf>
    <xf numFmtId="0" fontId="10" fillId="0" borderId="1" xfId="0" applyNumberFormat="1" applyFont="1" applyBorder="1" applyAlignment="1">
      <alignment horizontal="left" vertical="top" wrapText="1"/>
    </xf>
    <xf numFmtId="0" fontId="10" fillId="0" borderId="4" xfId="0" applyNumberFormat="1" applyFont="1" applyBorder="1" applyAlignment="1">
      <alignment horizontal="left" vertical="top" wrapText="1"/>
    </xf>
    <xf numFmtId="0" fontId="4" fillId="2" borderId="0" xfId="0" applyFont="1" applyFill="1" applyAlignment="1">
      <alignment horizontal="center" vertical="center"/>
    </xf>
    <xf numFmtId="0" fontId="6" fillId="5" borderId="34" xfId="0" applyFont="1" applyFill="1" applyBorder="1" applyAlignment="1">
      <alignment horizontal="left" vertical="center" wrapText="1"/>
    </xf>
    <xf numFmtId="0" fontId="6" fillId="5" borderId="35" xfId="0" applyFont="1" applyFill="1" applyBorder="1" applyAlignment="1">
      <alignment horizontal="left" vertical="center" wrapText="1"/>
    </xf>
    <xf numFmtId="0" fontId="6" fillId="5" borderId="46" xfId="0" applyFont="1" applyFill="1" applyBorder="1" applyAlignment="1">
      <alignment horizontal="left" vertical="center" wrapText="1"/>
    </xf>
    <xf numFmtId="0" fontId="4" fillId="5" borderId="45" xfId="0" applyFont="1" applyFill="1" applyBorder="1" applyAlignment="1">
      <alignment horizontal="left" vertical="center"/>
    </xf>
    <xf numFmtId="0" fontId="4" fillId="5" borderId="35" xfId="0" applyFont="1" applyFill="1" applyBorder="1" applyAlignment="1">
      <alignment horizontal="left" vertical="center"/>
    </xf>
    <xf numFmtId="0" fontId="4" fillId="5" borderId="36" xfId="0" applyFont="1" applyFill="1" applyBorder="1" applyAlignment="1">
      <alignment horizontal="left" vertical="center"/>
    </xf>
    <xf numFmtId="0" fontId="6" fillId="5" borderId="45" xfId="0" applyFont="1" applyFill="1" applyBorder="1" applyAlignment="1">
      <alignment horizontal="left" vertical="center" wrapText="1"/>
    </xf>
    <xf numFmtId="0" fontId="10" fillId="0" borderId="49" xfId="0" applyFont="1" applyBorder="1" applyAlignment="1">
      <alignment horizontal="left" vertical="top" wrapText="1"/>
    </xf>
    <xf numFmtId="0" fontId="10" fillId="0" borderId="50" xfId="0" applyFont="1" applyBorder="1" applyAlignment="1">
      <alignment horizontal="left" vertical="top" wrapText="1"/>
    </xf>
    <xf numFmtId="0" fontId="1" fillId="3" borderId="51" xfId="0" applyFont="1" applyFill="1" applyBorder="1" applyAlignment="1">
      <alignment horizontal="center" vertical="center" wrapText="1"/>
    </xf>
    <xf numFmtId="0" fontId="1" fillId="3" borderId="52" xfId="0" applyFont="1" applyFill="1" applyBorder="1" applyAlignment="1">
      <alignment horizontal="center" vertical="center" wrapText="1"/>
    </xf>
    <xf numFmtId="14" fontId="1" fillId="2" borderId="13" xfId="0" applyNumberFormat="1" applyFont="1" applyFill="1" applyBorder="1" applyAlignment="1">
      <alignment horizontal="center"/>
    </xf>
    <xf numFmtId="14" fontId="1" fillId="2" borderId="14" xfId="0" applyNumberFormat="1" applyFont="1" applyFill="1" applyBorder="1" applyAlignment="1">
      <alignment horizontal="center" vertical="center"/>
    </xf>
    <xf numFmtId="14" fontId="1" fillId="2" borderId="15" xfId="0" applyNumberFormat="1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/>
    </xf>
    <xf numFmtId="14" fontId="1" fillId="2" borderId="2" xfId="0" applyNumberFormat="1" applyFont="1" applyFill="1" applyBorder="1" applyAlignment="1">
      <alignment horizontal="center"/>
    </xf>
    <xf numFmtId="0" fontId="1" fillId="3" borderId="31" xfId="0" applyFont="1" applyFill="1" applyBorder="1" applyAlignment="1">
      <alignment horizontal="center" vertical="center" wrapText="1"/>
    </xf>
    <xf numFmtId="0" fontId="1" fillId="2" borderId="5" xfId="1" applyFont="1" applyFill="1" applyBorder="1" applyAlignment="1">
      <alignment horizontal="center" vertical="center" wrapText="1"/>
    </xf>
    <xf numFmtId="0" fontId="10" fillId="0" borderId="6" xfId="0" applyNumberFormat="1" applyFont="1" applyBorder="1" applyAlignment="1">
      <alignment horizontal="left" vertical="top" wrapText="1"/>
    </xf>
    <xf numFmtId="0" fontId="10" fillId="0" borderId="53" xfId="0" applyFont="1" applyBorder="1" applyAlignment="1">
      <alignment horizontal="left" vertical="top" wrapText="1"/>
    </xf>
    <xf numFmtId="0" fontId="5" fillId="4" borderId="26" xfId="1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top" wrapText="1"/>
    </xf>
    <xf numFmtId="0" fontId="2" fillId="4" borderId="54" xfId="1" applyFont="1" applyFill="1" applyBorder="1" applyAlignment="1">
      <alignment horizontal="center" vertical="center"/>
    </xf>
    <xf numFmtId="0" fontId="2" fillId="4" borderId="51" xfId="1" applyFont="1" applyFill="1" applyBorder="1" applyAlignment="1">
      <alignment horizontal="center" vertical="center"/>
    </xf>
    <xf numFmtId="0" fontId="5" fillId="4" borderId="51" xfId="1" applyFont="1" applyFill="1" applyBorder="1" applyAlignment="1">
      <alignment horizontal="center" vertical="center" wrapText="1"/>
    </xf>
    <xf numFmtId="0" fontId="1" fillId="2" borderId="13" xfId="1" applyFont="1" applyFill="1" applyBorder="1" applyAlignment="1">
      <alignment horizontal="center" vertical="center" wrapText="1"/>
    </xf>
    <xf numFmtId="0" fontId="10" fillId="0" borderId="14" xfId="0" applyNumberFormat="1" applyFont="1" applyBorder="1" applyAlignment="1">
      <alignment horizontal="left" vertical="top" wrapText="1"/>
    </xf>
    <xf numFmtId="0" fontId="10" fillId="0" borderId="14" xfId="0" applyFont="1" applyBorder="1" applyAlignment="1">
      <alignment horizontal="left" vertical="top" wrapText="1"/>
    </xf>
    <xf numFmtId="14" fontId="1" fillId="2" borderId="14" xfId="0" applyNumberFormat="1" applyFont="1" applyFill="1" applyBorder="1" applyAlignment="1">
      <alignment horizontal="center"/>
    </xf>
    <xf numFmtId="0" fontId="6" fillId="5" borderId="36" xfId="0" applyFont="1" applyFill="1" applyBorder="1" applyAlignment="1">
      <alignment horizontal="left" vertical="center" wrapText="1"/>
    </xf>
    <xf numFmtId="0" fontId="4" fillId="5" borderId="19" xfId="0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30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wrapText="1"/>
    </xf>
    <xf numFmtId="0" fontId="13" fillId="0" borderId="14" xfId="0" applyFont="1" applyBorder="1" applyAlignment="1">
      <alignment horizontal="center" wrapText="1"/>
    </xf>
    <xf numFmtId="0" fontId="13" fillId="0" borderId="3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0" fillId="0" borderId="14" xfId="0" applyFont="1" applyBorder="1" applyAlignment="1">
      <alignment vertical="center"/>
    </xf>
    <xf numFmtId="9" fontId="7" fillId="0" borderId="15" xfId="4" applyFont="1" applyBorder="1" applyAlignment="1">
      <alignment horizontal="center" vertical="center"/>
    </xf>
    <xf numFmtId="9" fontId="7" fillId="0" borderId="17" xfId="4" applyFont="1" applyBorder="1" applyAlignment="1">
      <alignment horizontal="center" vertical="center"/>
    </xf>
    <xf numFmtId="0" fontId="11" fillId="0" borderId="19" xfId="0" applyFont="1" applyBorder="1" applyAlignment="1">
      <alignment horizontal="center" wrapText="1"/>
    </xf>
    <xf numFmtId="0" fontId="11" fillId="0" borderId="20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22" xfId="0" applyFont="1" applyBorder="1" applyAlignment="1">
      <alignment horizontal="center" wrapText="1"/>
    </xf>
    <xf numFmtId="0" fontId="11" fillId="0" borderId="0" xfId="0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1" fillId="0" borderId="25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left" vertical="center" wrapText="1"/>
    </xf>
    <xf numFmtId="0" fontId="2" fillId="3" borderId="29" xfId="0" applyFont="1" applyFill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164" fontId="1" fillId="0" borderId="4" xfId="2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left" vertical="center" wrapText="1"/>
    </xf>
    <xf numFmtId="0" fontId="2" fillId="3" borderId="9" xfId="0" applyFont="1" applyFill="1" applyBorder="1" applyAlignment="1">
      <alignment horizontal="left" vertical="center" wrapText="1"/>
    </xf>
    <xf numFmtId="0" fontId="2" fillId="3" borderId="30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wrapText="1"/>
    </xf>
    <xf numFmtId="0" fontId="11" fillId="0" borderId="21" xfId="0" applyFont="1" applyBorder="1" applyAlignment="1">
      <alignment horizontal="center" wrapText="1"/>
    </xf>
    <xf numFmtId="0" fontId="11" fillId="0" borderId="0" xfId="0" applyFont="1" applyBorder="1" applyAlignment="1">
      <alignment horizontal="center" wrapText="1"/>
    </xf>
    <xf numFmtId="0" fontId="11" fillId="0" borderId="23" xfId="0" applyFont="1" applyBorder="1" applyAlignment="1">
      <alignment horizontal="center" wrapText="1"/>
    </xf>
    <xf numFmtId="0" fontId="11" fillId="0" borderId="24" xfId="0" applyFont="1" applyBorder="1" applyAlignment="1">
      <alignment horizontal="center" wrapText="1"/>
    </xf>
    <xf numFmtId="0" fontId="11" fillId="0" borderId="18" xfId="0" applyFont="1" applyBorder="1" applyAlignment="1">
      <alignment horizontal="center" wrapText="1"/>
    </xf>
    <xf numFmtId="0" fontId="10" fillId="5" borderId="44" xfId="0" applyFont="1" applyFill="1" applyBorder="1" applyAlignment="1">
      <alignment horizontal="center" vertical="center" wrapText="1"/>
    </xf>
    <xf numFmtId="0" fontId="10" fillId="5" borderId="40" xfId="0" applyFont="1" applyFill="1" applyBorder="1" applyAlignment="1">
      <alignment horizontal="center" vertical="center" wrapText="1"/>
    </xf>
    <xf numFmtId="0" fontId="10" fillId="5" borderId="41" xfId="0" applyFont="1" applyFill="1" applyBorder="1" applyAlignment="1">
      <alignment horizontal="center" vertical="center" wrapText="1"/>
    </xf>
    <xf numFmtId="0" fontId="10" fillId="5" borderId="43" xfId="0" applyFont="1" applyFill="1" applyBorder="1" applyAlignment="1">
      <alignment horizontal="center" vertical="center" wrapText="1"/>
    </xf>
    <xf numFmtId="0" fontId="10" fillId="5" borderId="42" xfId="0" applyFont="1" applyFill="1" applyBorder="1" applyAlignment="1">
      <alignment horizontal="left" vertical="center" wrapText="1"/>
    </xf>
    <xf numFmtId="0" fontId="10" fillId="5" borderId="40" xfId="0" applyFont="1" applyFill="1" applyBorder="1" applyAlignment="1">
      <alignment horizontal="left" vertical="center" wrapText="1"/>
    </xf>
    <xf numFmtId="0" fontId="10" fillId="5" borderId="41" xfId="0" applyFont="1" applyFill="1" applyBorder="1" applyAlignment="1">
      <alignment horizontal="left" vertical="center" wrapText="1"/>
    </xf>
    <xf numFmtId="0" fontId="10" fillId="5" borderId="47" xfId="0" applyFont="1" applyFill="1" applyBorder="1" applyAlignment="1">
      <alignment horizontal="center" vertical="center" wrapText="1"/>
    </xf>
    <xf numFmtId="0" fontId="10" fillId="5" borderId="32" xfId="0" applyFont="1" applyFill="1" applyBorder="1" applyAlignment="1">
      <alignment horizontal="center" vertical="center" wrapText="1"/>
    </xf>
    <xf numFmtId="0" fontId="10" fillId="5" borderId="33" xfId="0" applyFont="1" applyFill="1" applyBorder="1" applyAlignment="1">
      <alignment horizontal="center" vertical="center" wrapText="1"/>
    </xf>
    <xf numFmtId="0" fontId="10" fillId="5" borderId="48" xfId="0" applyFont="1" applyFill="1" applyBorder="1" applyAlignment="1">
      <alignment horizontal="left" vertical="center" wrapText="1"/>
    </xf>
    <xf numFmtId="0" fontId="10" fillId="5" borderId="38" xfId="0" applyFont="1" applyFill="1" applyBorder="1" applyAlignment="1">
      <alignment horizontal="left" vertical="center" wrapText="1"/>
    </xf>
    <xf numFmtId="0" fontId="10" fillId="5" borderId="39" xfId="0" applyFont="1" applyFill="1" applyBorder="1" applyAlignment="1">
      <alignment horizontal="left" vertical="center" wrapText="1"/>
    </xf>
    <xf numFmtId="0" fontId="4" fillId="5" borderId="44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4" fillId="5" borderId="43" xfId="0" applyFont="1" applyFill="1" applyBorder="1" applyAlignment="1">
      <alignment horizontal="center" vertical="center"/>
    </xf>
    <xf numFmtId="0" fontId="10" fillId="5" borderId="43" xfId="0" applyFont="1" applyFill="1" applyBorder="1" applyAlignment="1">
      <alignment horizontal="left" vertical="center" wrapText="1"/>
    </xf>
    <xf numFmtId="0" fontId="10" fillId="5" borderId="42" xfId="0" applyFont="1" applyFill="1" applyBorder="1" applyAlignment="1">
      <alignment horizontal="center" vertical="center" wrapText="1"/>
    </xf>
    <xf numFmtId="0" fontId="13" fillId="0" borderId="58" xfId="0" applyFont="1" applyBorder="1" applyAlignment="1">
      <alignment horizontal="center" wrapText="1"/>
    </xf>
    <xf numFmtId="0" fontId="13" fillId="0" borderId="0" xfId="0" applyFont="1" applyBorder="1" applyAlignment="1">
      <alignment horizontal="center" wrapText="1"/>
    </xf>
    <xf numFmtId="0" fontId="13" fillId="0" borderId="59" xfId="0" applyFont="1" applyBorder="1" applyAlignment="1">
      <alignment horizontal="center" wrapText="1"/>
    </xf>
    <xf numFmtId="0" fontId="13" fillId="0" borderId="18" xfId="0" applyFont="1" applyBorder="1" applyAlignment="1">
      <alignment horizont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0" fillId="0" borderId="1" xfId="0" applyBorder="1"/>
    <xf numFmtId="0" fontId="0" fillId="0" borderId="1" xfId="0" applyFont="1" applyBorder="1" applyAlignment="1">
      <alignment vertical="center"/>
    </xf>
    <xf numFmtId="0" fontId="0" fillId="0" borderId="14" xfId="0" applyBorder="1"/>
    <xf numFmtId="0" fontId="0" fillId="0" borderId="15" xfId="0" applyBorder="1"/>
    <xf numFmtId="0" fontId="0" fillId="0" borderId="3" xfId="0" applyFont="1" applyBorder="1" applyAlignment="1">
      <alignment horizontal="center" vertical="center"/>
    </xf>
    <xf numFmtId="0" fontId="0" fillId="0" borderId="16" xfId="0" applyBorder="1"/>
    <xf numFmtId="0" fontId="0" fillId="0" borderId="3" xfId="0" applyFont="1" applyBorder="1" applyAlignment="1">
      <alignment horizontal="center" vertical="center"/>
    </xf>
    <xf numFmtId="0" fontId="0" fillId="0" borderId="4" xfId="0" applyBorder="1"/>
    <xf numFmtId="0" fontId="0" fillId="0" borderId="17" xfId="0" applyBorder="1"/>
    <xf numFmtId="0" fontId="14" fillId="6" borderId="54" xfId="0" applyFont="1" applyFill="1" applyBorder="1" applyAlignment="1">
      <alignment horizontal="center" vertical="center"/>
    </xf>
    <xf numFmtId="0" fontId="14" fillId="6" borderId="51" xfId="0" applyFont="1" applyFill="1" applyBorder="1" applyAlignment="1">
      <alignment horizontal="center" vertical="center"/>
    </xf>
    <xf numFmtId="0" fontId="14" fillId="6" borderId="52" xfId="0" applyFont="1" applyFill="1" applyBorder="1" applyAlignment="1">
      <alignment horizontal="center" vertical="center"/>
    </xf>
    <xf numFmtId="0" fontId="15" fillId="6" borderId="29" xfId="0" applyFont="1" applyFill="1" applyBorder="1" applyAlignment="1">
      <alignment horizontal="center"/>
    </xf>
    <xf numFmtId="0" fontId="15" fillId="6" borderId="30" xfId="0" applyFont="1" applyFill="1" applyBorder="1" applyAlignment="1">
      <alignment horizontal="center"/>
    </xf>
    <xf numFmtId="0" fontId="16" fillId="0" borderId="0" xfId="0" applyFont="1"/>
    <xf numFmtId="0" fontId="14" fillId="6" borderId="56" xfId="0" applyFont="1" applyFill="1" applyBorder="1" applyAlignment="1">
      <alignment horizontal="center" vertical="center"/>
    </xf>
    <xf numFmtId="0" fontId="14" fillId="6" borderId="55" xfId="0" applyFont="1" applyFill="1" applyBorder="1" applyAlignment="1">
      <alignment horizontal="center" vertical="center"/>
    </xf>
    <xf numFmtId="0" fontId="14" fillId="6" borderId="57" xfId="0" applyFont="1" applyFill="1" applyBorder="1" applyAlignment="1">
      <alignment horizontal="center" vertical="center"/>
    </xf>
    <xf numFmtId="0" fontId="15" fillId="6" borderId="51" xfId="0" applyFont="1" applyFill="1" applyBorder="1" applyAlignment="1">
      <alignment horizontal="center" vertical="center"/>
    </xf>
    <xf numFmtId="0" fontId="15" fillId="6" borderId="51" xfId="0" applyFont="1" applyFill="1" applyBorder="1" applyAlignment="1">
      <alignment horizontal="center"/>
    </xf>
    <xf numFmtId="0" fontId="15" fillId="6" borderId="52" xfId="0" applyFont="1" applyFill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15" fillId="6" borderId="31" xfId="0" applyFont="1" applyFill="1" applyBorder="1" applyAlignment="1">
      <alignment horizontal="center" vertical="center"/>
    </xf>
    <xf numFmtId="0" fontId="0" fillId="0" borderId="37" xfId="0" applyBorder="1"/>
    <xf numFmtId="0" fontId="0" fillId="0" borderId="12" xfId="0" applyBorder="1"/>
    <xf numFmtId="0" fontId="0" fillId="0" borderId="60" xfId="0" applyBorder="1"/>
    <xf numFmtId="9" fontId="7" fillId="0" borderId="16" xfId="4" applyFont="1" applyBorder="1" applyAlignment="1">
      <alignment horizontal="center" vertical="center"/>
    </xf>
    <xf numFmtId="9" fontId="7" fillId="0" borderId="16" xfId="4" applyFont="1" applyBorder="1" applyAlignment="1">
      <alignment horizontal="center" vertical="center"/>
    </xf>
    <xf numFmtId="0" fontId="0" fillId="0" borderId="14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4" xfId="0" applyFont="1" applyBorder="1" applyAlignment="1">
      <alignment horizontal="left"/>
    </xf>
  </cellXfs>
  <cellStyles count="5">
    <cellStyle name="Millares" xfId="2" builtinId="3"/>
    <cellStyle name="Normal" xfId="0" builtinId="0"/>
    <cellStyle name="Normal 3" xfId="1" xr:uid="{B6EB48BC-6BDA-4EF7-A24F-BBAF06E7E74F}"/>
    <cellStyle name="Normal 5" xfId="3" xr:uid="{C1ED0CE9-FC18-4174-B76F-C4E4150CAB5C}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144780</xdr:colOff>
      <xdr:row>0</xdr:row>
      <xdr:rowOff>38099</xdr:rowOff>
    </xdr:from>
    <xdr:to>
      <xdr:col>1</xdr:col>
      <xdr:colOff>762000</xdr:colOff>
      <xdr:row>3</xdr:row>
      <xdr:rowOff>134158</xdr:rowOff>
    </xdr:to>
    <xdr:pic>
      <xdr:nvPicPr>
        <xdr:cNvPr id="2" name="dimg_-6qDaaS3C5WGwbkPodu3iQ4_5" descr="Archivo:Sena Colombia logo.svg - Wikipedia, la enciclopedia ...">
          <a:extLst>
            <a:ext uri="{FF2B5EF4-FFF2-40B4-BE49-F238E27FC236}">
              <a16:creationId xmlns:a16="http://schemas.microsoft.com/office/drawing/2014/main" id="{D0C5BC41-E784-4281-8B54-7C4912F07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" y="38099"/>
          <a:ext cx="822960" cy="6446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137511</xdr:colOff>
      <xdr:row>0</xdr:row>
      <xdr:rowOff>95249</xdr:rowOff>
    </xdr:from>
    <xdr:to>
      <xdr:col>1</xdr:col>
      <xdr:colOff>358775</xdr:colOff>
      <xdr:row>4</xdr:row>
      <xdr:rowOff>19050</xdr:rowOff>
    </xdr:to>
    <xdr:pic>
      <xdr:nvPicPr>
        <xdr:cNvPr id="2" name="dimg_-6qDaaS3C5WGwbkPodu3iQ4_5" descr="Archivo:Sena Colombia logo.svg - Wikipedia, la enciclopedia ...">
          <a:extLst>
            <a:ext uri="{FF2B5EF4-FFF2-40B4-BE49-F238E27FC236}">
              <a16:creationId xmlns:a16="http://schemas.microsoft.com/office/drawing/2014/main" id="{9F33ACC2-5623-4AE0-BFB4-4D8936765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511" y="95249"/>
          <a:ext cx="554639" cy="4953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137511</xdr:colOff>
      <xdr:row>0</xdr:row>
      <xdr:rowOff>95250</xdr:rowOff>
    </xdr:from>
    <xdr:to>
      <xdr:col>1</xdr:col>
      <xdr:colOff>358775</xdr:colOff>
      <xdr:row>4</xdr:row>
      <xdr:rowOff>67369</xdr:rowOff>
    </xdr:to>
    <xdr:pic>
      <xdr:nvPicPr>
        <xdr:cNvPr id="2" name="dimg_-6qDaaS3C5WGwbkPodu3iQ4_5" descr="Archivo:Sena Colombia logo.svg - Wikipedia, la enciclopedia ...">
          <a:extLst>
            <a:ext uri="{FF2B5EF4-FFF2-40B4-BE49-F238E27FC236}">
              <a16:creationId xmlns:a16="http://schemas.microsoft.com/office/drawing/2014/main" id="{2A724D5A-3342-4F70-8E08-5D1CCD616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511" y="95250"/>
          <a:ext cx="554639" cy="5436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137511</xdr:colOff>
      <xdr:row>0</xdr:row>
      <xdr:rowOff>95248</xdr:rowOff>
    </xdr:from>
    <xdr:to>
      <xdr:col>1</xdr:col>
      <xdr:colOff>358775</xdr:colOff>
      <xdr:row>4</xdr:row>
      <xdr:rowOff>19049</xdr:rowOff>
    </xdr:to>
    <xdr:pic>
      <xdr:nvPicPr>
        <xdr:cNvPr id="2" name="dimg_-6qDaaS3C5WGwbkPodu3iQ4_5" descr="Archivo:Sena Colombia logo.svg - Wikipedia, la enciclopedia ...">
          <a:extLst>
            <a:ext uri="{FF2B5EF4-FFF2-40B4-BE49-F238E27FC236}">
              <a16:creationId xmlns:a16="http://schemas.microsoft.com/office/drawing/2014/main" id="{05E88075-8DCB-4443-9958-89F1C30C7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511" y="95248"/>
          <a:ext cx="554639" cy="4953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137511</xdr:colOff>
      <xdr:row>0</xdr:row>
      <xdr:rowOff>95248</xdr:rowOff>
    </xdr:from>
    <xdr:to>
      <xdr:col>1</xdr:col>
      <xdr:colOff>358775</xdr:colOff>
      <xdr:row>3</xdr:row>
      <xdr:rowOff>123824</xdr:rowOff>
    </xdr:to>
    <xdr:pic>
      <xdr:nvPicPr>
        <xdr:cNvPr id="2" name="dimg_-6qDaaS3C5WGwbkPodu3iQ4_5" descr="Archivo:Sena Colombia logo.svg - Wikipedia, la enciclopedia ...">
          <a:extLst>
            <a:ext uri="{FF2B5EF4-FFF2-40B4-BE49-F238E27FC236}">
              <a16:creationId xmlns:a16="http://schemas.microsoft.com/office/drawing/2014/main" id="{B0E7E1C6-9761-4BF2-8525-3428739A0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511" y="95248"/>
          <a:ext cx="554639" cy="4572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137511</xdr:colOff>
      <xdr:row>0</xdr:row>
      <xdr:rowOff>95247</xdr:rowOff>
    </xdr:from>
    <xdr:to>
      <xdr:col>1</xdr:col>
      <xdr:colOff>358775</xdr:colOff>
      <xdr:row>4</xdr:row>
      <xdr:rowOff>38100</xdr:rowOff>
    </xdr:to>
    <xdr:pic>
      <xdr:nvPicPr>
        <xdr:cNvPr id="2" name="dimg_-6qDaaS3C5WGwbkPodu3iQ4_5" descr="Archivo:Sena Colombia logo.svg - Wikipedia, la enciclopedia ...">
          <a:extLst>
            <a:ext uri="{FF2B5EF4-FFF2-40B4-BE49-F238E27FC236}">
              <a16:creationId xmlns:a16="http://schemas.microsoft.com/office/drawing/2014/main" id="{8FBB3882-7E84-48F8-9C05-C24B02EB2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511" y="95247"/>
          <a:ext cx="554639" cy="514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137511</xdr:colOff>
      <xdr:row>0</xdr:row>
      <xdr:rowOff>95249</xdr:rowOff>
    </xdr:from>
    <xdr:to>
      <xdr:col>1</xdr:col>
      <xdr:colOff>358775</xdr:colOff>
      <xdr:row>3</xdr:row>
      <xdr:rowOff>134937</xdr:rowOff>
    </xdr:to>
    <xdr:pic>
      <xdr:nvPicPr>
        <xdr:cNvPr id="2" name="dimg_-6qDaaS3C5WGwbkPodu3iQ4_5" descr="Archivo:Sena Colombia logo.svg - Wikipedia, la enciclopedia ...">
          <a:extLst>
            <a:ext uri="{FF2B5EF4-FFF2-40B4-BE49-F238E27FC236}">
              <a16:creationId xmlns:a16="http://schemas.microsoft.com/office/drawing/2014/main" id="{E8395C48-6183-4C6D-BD08-32B655EA7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511" y="95249"/>
          <a:ext cx="554639" cy="468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137511</xdr:colOff>
      <xdr:row>0</xdr:row>
      <xdr:rowOff>95249</xdr:rowOff>
    </xdr:from>
    <xdr:to>
      <xdr:col>1</xdr:col>
      <xdr:colOff>358775</xdr:colOff>
      <xdr:row>3</xdr:row>
      <xdr:rowOff>133349</xdr:rowOff>
    </xdr:to>
    <xdr:pic>
      <xdr:nvPicPr>
        <xdr:cNvPr id="3" name="dimg_-6qDaaS3C5WGwbkPodu3iQ4_5" descr="Archivo:Sena Colombia logo.svg - Wikipedia, la enciclopedia ...">
          <a:extLst>
            <a:ext uri="{FF2B5EF4-FFF2-40B4-BE49-F238E27FC236}">
              <a16:creationId xmlns:a16="http://schemas.microsoft.com/office/drawing/2014/main" id="{134BE11F-3B4B-49A8-B558-EDAD44C7B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511" y="95249"/>
          <a:ext cx="554639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150812</xdr:colOff>
      <xdr:row>0</xdr:row>
      <xdr:rowOff>83135</xdr:rowOff>
    </xdr:from>
    <xdr:to>
      <xdr:col>1</xdr:col>
      <xdr:colOff>501160</xdr:colOff>
      <xdr:row>3</xdr:row>
      <xdr:rowOff>111125</xdr:rowOff>
    </xdr:to>
    <xdr:pic>
      <xdr:nvPicPr>
        <xdr:cNvPr id="2" name="dimg_-6qDaaS3C5WGwbkPodu3iQ4_5" descr="Archivo:Sena Colombia logo.svg - Wikipedia, la enciclopedia ...">
          <a:extLst>
            <a:ext uri="{FF2B5EF4-FFF2-40B4-BE49-F238E27FC236}">
              <a16:creationId xmlns:a16="http://schemas.microsoft.com/office/drawing/2014/main" id="{2BB316AE-9E04-45D3-8F6B-36B9ED216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12" y="83135"/>
          <a:ext cx="683723" cy="5518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C3121-BD13-4CE3-8148-AF152E34FA4A}">
  <dimension ref="A1:N21"/>
  <sheetViews>
    <sheetView tabSelected="1" workbookViewId="0">
      <selection activeCell="E20" sqref="E20:E21"/>
    </sheetView>
  </sheetViews>
  <sheetFormatPr baseColWidth="10" defaultRowHeight="14.4" x14ac:dyDescent="0.3"/>
  <cols>
    <col min="1" max="1" width="3" style="63" bestFit="1" customWidth="1"/>
    <col min="2" max="2" width="12.5546875" style="62" bestFit="1" customWidth="1"/>
    <col min="3" max="3" width="38.109375" bestFit="1" customWidth="1"/>
    <col min="4" max="4" width="28.109375" bestFit="1" customWidth="1"/>
    <col min="5" max="5" width="12" customWidth="1"/>
    <col min="6" max="6" width="7.88671875" bestFit="1" customWidth="1"/>
    <col min="7" max="7" width="19.33203125" bestFit="1" customWidth="1"/>
    <col min="8" max="8" width="16.44140625" bestFit="1" customWidth="1"/>
    <col min="9" max="9" width="23.6640625" bestFit="1" customWidth="1"/>
    <col min="10" max="10" width="14" bestFit="1" customWidth="1"/>
    <col min="11" max="11" width="16.33203125" bestFit="1" customWidth="1"/>
    <col min="12" max="12" width="13" bestFit="1" customWidth="1"/>
    <col min="13" max="13" width="19.109375" bestFit="1" customWidth="1"/>
    <col min="14" max="14" width="8.6640625" bestFit="1" customWidth="1"/>
  </cols>
  <sheetData>
    <row r="1" spans="1:14" ht="14.4" customHeight="1" x14ac:dyDescent="0.3">
      <c r="A1" s="67"/>
      <c r="B1" s="68"/>
      <c r="C1" s="131" t="s">
        <v>110</v>
      </c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</row>
    <row r="2" spans="1:14" x14ac:dyDescent="0.3">
      <c r="A2" s="69"/>
      <c r="B2" s="70"/>
      <c r="C2" s="131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</row>
    <row r="3" spans="1:14" x14ac:dyDescent="0.3">
      <c r="A3" s="69"/>
      <c r="B3" s="70"/>
      <c r="C3" s="131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</row>
    <row r="4" spans="1:14" ht="15" thickBot="1" x14ac:dyDescent="0.35">
      <c r="A4" s="71"/>
      <c r="B4" s="72"/>
      <c r="C4" s="133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</row>
    <row r="5" spans="1:14" s="151" customFormat="1" thickBot="1" x14ac:dyDescent="0.35">
      <c r="A5" s="146" t="s">
        <v>65</v>
      </c>
      <c r="B5" s="147" t="s">
        <v>104</v>
      </c>
      <c r="C5" s="147" t="s">
        <v>107</v>
      </c>
      <c r="D5" s="147" t="s">
        <v>105</v>
      </c>
      <c r="E5" s="148" t="s">
        <v>109</v>
      </c>
      <c r="F5" s="149" t="s">
        <v>129</v>
      </c>
      <c r="G5" s="149"/>
      <c r="H5" s="149"/>
      <c r="I5" s="149"/>
      <c r="J5" s="149"/>
      <c r="K5" s="149"/>
      <c r="L5" s="149"/>
      <c r="M5" s="149"/>
      <c r="N5" s="150"/>
    </row>
    <row r="6" spans="1:14" s="158" customFormat="1" thickBot="1" x14ac:dyDescent="0.3">
      <c r="A6" s="152"/>
      <c r="B6" s="153"/>
      <c r="C6" s="153"/>
      <c r="D6" s="153"/>
      <c r="E6" s="154"/>
      <c r="F6" s="159" t="s">
        <v>130</v>
      </c>
      <c r="G6" s="155" t="s">
        <v>131</v>
      </c>
      <c r="H6" s="155" t="s">
        <v>132</v>
      </c>
      <c r="I6" s="155" t="s">
        <v>133</v>
      </c>
      <c r="J6" s="155" t="s">
        <v>134</v>
      </c>
      <c r="K6" s="155" t="s">
        <v>135</v>
      </c>
      <c r="L6" s="156" t="s">
        <v>136</v>
      </c>
      <c r="M6" s="156" t="s">
        <v>137</v>
      </c>
      <c r="N6" s="157" t="s">
        <v>138</v>
      </c>
    </row>
    <row r="7" spans="1:14" x14ac:dyDescent="0.3">
      <c r="A7" s="64">
        <v>1</v>
      </c>
      <c r="B7" s="73" t="s">
        <v>106</v>
      </c>
      <c r="C7" s="165" t="s">
        <v>108</v>
      </c>
      <c r="D7" s="55" t="s">
        <v>25</v>
      </c>
      <c r="E7" s="74">
        <v>0.32</v>
      </c>
      <c r="F7" s="160"/>
      <c r="G7" s="139"/>
      <c r="H7" s="139"/>
      <c r="I7" s="139"/>
      <c r="J7" s="139"/>
      <c r="K7" s="139"/>
      <c r="L7" s="139"/>
      <c r="M7" s="139"/>
      <c r="N7" s="140"/>
    </row>
    <row r="8" spans="1:14" x14ac:dyDescent="0.3">
      <c r="A8" s="141"/>
      <c r="B8" s="136"/>
      <c r="C8" s="166"/>
      <c r="D8" s="12" t="s">
        <v>31</v>
      </c>
      <c r="E8" s="163"/>
      <c r="F8" s="161"/>
      <c r="G8" s="137"/>
      <c r="H8" s="137"/>
      <c r="I8" s="137"/>
      <c r="J8" s="137"/>
      <c r="K8" s="137"/>
      <c r="L8" s="137"/>
      <c r="M8" s="137"/>
      <c r="N8" s="142"/>
    </row>
    <row r="9" spans="1:14" x14ac:dyDescent="0.3">
      <c r="A9" s="141">
        <v>2</v>
      </c>
      <c r="B9" s="136" t="s">
        <v>111</v>
      </c>
      <c r="C9" s="166" t="s">
        <v>112</v>
      </c>
      <c r="D9" s="12" t="s">
        <v>20</v>
      </c>
      <c r="E9" s="163">
        <v>0.44</v>
      </c>
      <c r="F9" s="161"/>
      <c r="G9" s="137"/>
      <c r="H9" s="137"/>
      <c r="I9" s="137"/>
      <c r="J9" s="137"/>
      <c r="K9" s="137"/>
      <c r="L9" s="137"/>
      <c r="M9" s="137"/>
      <c r="N9" s="142"/>
    </row>
    <row r="10" spans="1:14" x14ac:dyDescent="0.3">
      <c r="A10" s="141"/>
      <c r="B10" s="136"/>
      <c r="C10" s="166"/>
      <c r="D10" s="12" t="s">
        <v>26</v>
      </c>
      <c r="E10" s="163"/>
      <c r="F10" s="161"/>
      <c r="G10" s="137"/>
      <c r="H10" s="137"/>
      <c r="I10" s="137"/>
      <c r="J10" s="137"/>
      <c r="K10" s="137"/>
      <c r="L10" s="137"/>
      <c r="M10" s="137"/>
      <c r="N10" s="142"/>
    </row>
    <row r="11" spans="1:14" x14ac:dyDescent="0.3">
      <c r="A11" s="143">
        <v>3</v>
      </c>
      <c r="B11" s="138" t="s">
        <v>113</v>
      </c>
      <c r="C11" s="167" t="s">
        <v>114</v>
      </c>
      <c r="D11" s="12" t="s">
        <v>28</v>
      </c>
      <c r="E11" s="164">
        <v>0.37</v>
      </c>
      <c r="F11" s="161"/>
      <c r="G11" s="137"/>
      <c r="H11" s="137"/>
      <c r="I11" s="137"/>
      <c r="J11" s="137"/>
      <c r="K11" s="137"/>
      <c r="L11" s="137"/>
      <c r="M11" s="137"/>
      <c r="N11" s="142"/>
    </row>
    <row r="12" spans="1:14" x14ac:dyDescent="0.3">
      <c r="A12" s="143">
        <v>4</v>
      </c>
      <c r="B12" s="138" t="s">
        <v>115</v>
      </c>
      <c r="C12" s="167" t="s">
        <v>116</v>
      </c>
      <c r="D12" s="12" t="s">
        <v>30</v>
      </c>
      <c r="E12" s="164">
        <v>0.42</v>
      </c>
      <c r="F12" s="161"/>
      <c r="G12" s="137"/>
      <c r="H12" s="137"/>
      <c r="I12" s="137"/>
      <c r="J12" s="137"/>
      <c r="K12" s="137"/>
      <c r="L12" s="137"/>
      <c r="M12" s="137"/>
      <c r="N12" s="142"/>
    </row>
    <row r="13" spans="1:14" x14ac:dyDescent="0.3">
      <c r="A13" s="143">
        <v>5</v>
      </c>
      <c r="B13" s="138" t="s">
        <v>117</v>
      </c>
      <c r="C13" s="167" t="s">
        <v>118</v>
      </c>
      <c r="D13" s="12" t="s">
        <v>18</v>
      </c>
      <c r="E13" s="164"/>
      <c r="F13" s="161"/>
      <c r="G13" s="137"/>
      <c r="H13" s="137"/>
      <c r="I13" s="137"/>
      <c r="J13" s="137"/>
      <c r="K13" s="137"/>
      <c r="L13" s="137"/>
      <c r="M13" s="137"/>
      <c r="N13" s="142"/>
    </row>
    <row r="14" spans="1:14" x14ac:dyDescent="0.3">
      <c r="A14" s="141">
        <v>6</v>
      </c>
      <c r="B14" s="136" t="s">
        <v>119</v>
      </c>
      <c r="C14" s="166" t="s">
        <v>120</v>
      </c>
      <c r="D14" s="12" t="s">
        <v>24</v>
      </c>
      <c r="E14" s="163">
        <v>0.68</v>
      </c>
      <c r="F14" s="161"/>
      <c r="G14" s="137"/>
      <c r="H14" s="137"/>
      <c r="I14" s="137"/>
      <c r="J14" s="137"/>
      <c r="K14" s="137"/>
      <c r="L14" s="137"/>
      <c r="M14" s="137"/>
      <c r="N14" s="142"/>
    </row>
    <row r="15" spans="1:14" x14ac:dyDescent="0.3">
      <c r="A15" s="141"/>
      <c r="B15" s="136"/>
      <c r="C15" s="166"/>
      <c r="D15" s="12" t="s">
        <v>29</v>
      </c>
      <c r="E15" s="163"/>
      <c r="F15" s="161"/>
      <c r="G15" s="137"/>
      <c r="H15" s="137"/>
      <c r="I15" s="137"/>
      <c r="J15" s="137"/>
      <c r="K15" s="137"/>
      <c r="L15" s="137"/>
      <c r="M15" s="137"/>
      <c r="N15" s="142"/>
    </row>
    <row r="16" spans="1:14" x14ac:dyDescent="0.3">
      <c r="A16" s="143">
        <v>7</v>
      </c>
      <c r="B16" s="138" t="s">
        <v>121</v>
      </c>
      <c r="C16" s="168" t="s">
        <v>125</v>
      </c>
      <c r="D16" s="12" t="s">
        <v>21</v>
      </c>
      <c r="E16" s="164">
        <v>0.36</v>
      </c>
      <c r="F16" s="161"/>
      <c r="G16" s="137"/>
      <c r="H16" s="137"/>
      <c r="I16" s="137"/>
      <c r="J16" s="137"/>
      <c r="K16" s="137"/>
      <c r="L16" s="137"/>
      <c r="M16" s="137"/>
      <c r="N16" s="142"/>
    </row>
    <row r="17" spans="1:14" x14ac:dyDescent="0.3">
      <c r="A17" s="143">
        <v>8</v>
      </c>
      <c r="B17" s="138" t="s">
        <v>122</v>
      </c>
      <c r="C17" s="168" t="s">
        <v>126</v>
      </c>
      <c r="D17" s="12" t="s">
        <v>19</v>
      </c>
      <c r="E17" s="164">
        <v>0.41</v>
      </c>
      <c r="F17" s="161"/>
      <c r="G17" s="137"/>
      <c r="H17" s="137"/>
      <c r="I17" s="137"/>
      <c r="J17" s="137"/>
      <c r="K17" s="137"/>
      <c r="L17" s="137"/>
      <c r="M17" s="137"/>
      <c r="N17" s="142"/>
    </row>
    <row r="18" spans="1:14" x14ac:dyDescent="0.3">
      <c r="A18" s="141">
        <v>9</v>
      </c>
      <c r="B18" s="135" t="s">
        <v>123</v>
      </c>
      <c r="C18" s="169" t="s">
        <v>127</v>
      </c>
      <c r="D18" s="12" t="s">
        <v>17</v>
      </c>
      <c r="E18" s="163">
        <v>0.3</v>
      </c>
      <c r="F18" s="161"/>
      <c r="G18" s="137"/>
      <c r="H18" s="137"/>
      <c r="I18" s="137"/>
      <c r="J18" s="137"/>
      <c r="K18" s="137"/>
      <c r="L18" s="137"/>
      <c r="M18" s="137"/>
      <c r="N18" s="142"/>
    </row>
    <row r="19" spans="1:14" x14ac:dyDescent="0.3">
      <c r="A19" s="141"/>
      <c r="B19" s="135"/>
      <c r="C19" s="169"/>
      <c r="D19" s="12" t="s">
        <v>27</v>
      </c>
      <c r="E19" s="163"/>
      <c r="F19" s="161"/>
      <c r="G19" s="137"/>
      <c r="H19" s="137"/>
      <c r="I19" s="137"/>
      <c r="J19" s="137"/>
      <c r="K19" s="137"/>
      <c r="L19" s="137"/>
      <c r="M19" s="137"/>
      <c r="N19" s="142"/>
    </row>
    <row r="20" spans="1:14" x14ac:dyDescent="0.3">
      <c r="A20" s="141">
        <v>10</v>
      </c>
      <c r="B20" s="135" t="s">
        <v>124</v>
      </c>
      <c r="C20" s="169" t="s">
        <v>139</v>
      </c>
      <c r="D20" s="12" t="s">
        <v>22</v>
      </c>
      <c r="E20" s="163">
        <v>0.1</v>
      </c>
      <c r="F20" s="161"/>
      <c r="G20" s="137"/>
      <c r="H20" s="137"/>
      <c r="I20" s="137"/>
      <c r="J20" s="137"/>
      <c r="K20" s="137"/>
      <c r="L20" s="137"/>
      <c r="M20" s="137"/>
      <c r="N20" s="142"/>
    </row>
    <row r="21" spans="1:14" ht="15" thickBot="1" x14ac:dyDescent="0.35">
      <c r="A21" s="65"/>
      <c r="B21" s="66"/>
      <c r="C21" s="170"/>
      <c r="D21" s="20" t="s">
        <v>23</v>
      </c>
      <c r="E21" s="75"/>
      <c r="F21" s="162"/>
      <c r="G21" s="144"/>
      <c r="H21" s="144"/>
      <c r="I21" s="144"/>
      <c r="J21" s="144"/>
      <c r="K21" s="144"/>
      <c r="L21" s="144"/>
      <c r="M21" s="144"/>
      <c r="N21" s="145"/>
    </row>
  </sheetData>
  <mergeCells count="28">
    <mergeCell ref="F5:N5"/>
    <mergeCell ref="C1:N4"/>
    <mergeCell ref="C5:C6"/>
    <mergeCell ref="D5:D6"/>
    <mergeCell ref="E5:E6"/>
    <mergeCell ref="A1:B4"/>
    <mergeCell ref="A14:A15"/>
    <mergeCell ref="B14:B15"/>
    <mergeCell ref="C14:C15"/>
    <mergeCell ref="E14:E15"/>
    <mergeCell ref="B7:B8"/>
    <mergeCell ref="C7:C8"/>
    <mergeCell ref="A7:A8"/>
    <mergeCell ref="E7:E8"/>
    <mergeCell ref="B9:B10"/>
    <mergeCell ref="A9:A10"/>
    <mergeCell ref="C9:C10"/>
    <mergeCell ref="E9:E10"/>
    <mergeCell ref="A5:A6"/>
    <mergeCell ref="B5:B6"/>
    <mergeCell ref="A20:A21"/>
    <mergeCell ref="B20:B21"/>
    <mergeCell ref="E18:E19"/>
    <mergeCell ref="C20:C21"/>
    <mergeCell ref="E20:E21"/>
    <mergeCell ref="A18:A19"/>
    <mergeCell ref="B18:B19"/>
    <mergeCell ref="C18:C1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89797-C58D-4A4D-A3E8-718041970C68}">
  <dimension ref="A1:O26"/>
  <sheetViews>
    <sheetView zoomScaleNormal="100" workbookViewId="0">
      <selection activeCell="G17" sqref="G17"/>
    </sheetView>
  </sheetViews>
  <sheetFormatPr baseColWidth="10" defaultColWidth="11.44140625" defaultRowHeight="10.199999999999999" x14ac:dyDescent="0.2"/>
  <cols>
    <col min="1" max="1" width="5" style="1" bestFit="1" customWidth="1"/>
    <col min="2" max="2" width="9.5546875" style="3" bestFit="1" customWidth="1"/>
    <col min="3" max="3" width="30.109375" style="3" bestFit="1" customWidth="1"/>
    <col min="4" max="4" width="8.5546875" style="1" customWidth="1"/>
    <col min="5" max="5" width="4.109375" style="1" bestFit="1" customWidth="1"/>
    <col min="6" max="6" width="8.5546875" style="1" customWidth="1"/>
    <col min="7" max="7" width="3.21875" style="1" bestFit="1" customWidth="1"/>
    <col min="8" max="8" width="8.5546875" style="1" customWidth="1"/>
    <col min="9" max="9" width="3.21875" style="1" bestFit="1" customWidth="1"/>
    <col min="10" max="10" width="8.5546875" style="1" customWidth="1"/>
    <col min="11" max="11" width="3.21875" style="1" bestFit="1" customWidth="1"/>
    <col min="12" max="12" width="8.5546875" style="1" customWidth="1"/>
    <col min="13" max="13" width="3.21875" style="1" bestFit="1" customWidth="1"/>
    <col min="14" max="16384" width="11.44140625" style="1"/>
  </cols>
  <sheetData>
    <row r="1" spans="1:15" x14ac:dyDescent="0.2">
      <c r="A1" s="76" t="s">
        <v>37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8"/>
    </row>
    <row r="2" spans="1:15" x14ac:dyDescent="0.2">
      <c r="A2" s="79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1:15" x14ac:dyDescent="0.2">
      <c r="A3" s="79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1"/>
    </row>
    <row r="4" spans="1:15" x14ac:dyDescent="0.2">
      <c r="A4" s="82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1"/>
    </row>
    <row r="5" spans="1:15" ht="10.8" thickBot="1" x14ac:dyDescent="0.25">
      <c r="A5" s="83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5" ht="15" thickBot="1" x14ac:dyDescent="0.35">
      <c r="A6" s="5" t="s">
        <v>0</v>
      </c>
      <c r="B6" s="6">
        <v>2993128</v>
      </c>
      <c r="C6" s="86" t="s">
        <v>9</v>
      </c>
      <c r="D6" s="86"/>
      <c r="E6" s="10" t="s">
        <v>1</v>
      </c>
      <c r="F6" s="11" t="s">
        <v>33</v>
      </c>
      <c r="G6" s="87" t="s">
        <v>10</v>
      </c>
      <c r="H6" s="87"/>
      <c r="I6" s="88" t="s">
        <v>32</v>
      </c>
      <c r="J6" s="88"/>
      <c r="K6" s="88"/>
      <c r="L6" s="88"/>
      <c r="M6" s="89"/>
      <c r="O6"/>
    </row>
    <row r="7" spans="1:15" ht="10.8" thickBot="1" x14ac:dyDescent="0.25">
      <c r="A7" s="90" t="s">
        <v>2</v>
      </c>
      <c r="B7" s="91"/>
      <c r="C7" s="92" t="s">
        <v>42</v>
      </c>
      <c r="D7" s="92"/>
      <c r="E7" s="92"/>
      <c r="F7" s="92"/>
      <c r="G7" s="92"/>
      <c r="H7" s="92"/>
      <c r="I7" s="92"/>
      <c r="J7" s="92"/>
      <c r="K7" s="92"/>
      <c r="L7" s="92"/>
      <c r="M7" s="93"/>
    </row>
    <row r="8" spans="1:15" ht="23.25" customHeight="1" thickBot="1" x14ac:dyDescent="0.25">
      <c r="A8" s="90" t="s">
        <v>35</v>
      </c>
      <c r="B8" s="98"/>
      <c r="C8" s="99" t="s">
        <v>43</v>
      </c>
      <c r="D8" s="91"/>
      <c r="E8" s="91"/>
      <c r="F8" s="91"/>
      <c r="G8" s="91"/>
      <c r="H8" s="91"/>
      <c r="I8" s="91"/>
      <c r="J8" s="91"/>
      <c r="K8" s="91"/>
      <c r="L8" s="91"/>
      <c r="M8" s="100"/>
    </row>
    <row r="9" spans="1:15" x14ac:dyDescent="0.2">
      <c r="A9" s="101" t="s">
        <v>3</v>
      </c>
      <c r="B9" s="102"/>
      <c r="C9" s="102"/>
      <c r="D9" s="105" t="s">
        <v>11</v>
      </c>
      <c r="E9" s="105"/>
      <c r="F9" s="105" t="s">
        <v>12</v>
      </c>
      <c r="G9" s="105"/>
      <c r="H9" s="105" t="s">
        <v>13</v>
      </c>
      <c r="I9" s="105"/>
      <c r="J9" s="105" t="s">
        <v>14</v>
      </c>
      <c r="K9" s="105"/>
      <c r="L9" s="105" t="s">
        <v>15</v>
      </c>
      <c r="M9" s="106"/>
    </row>
    <row r="10" spans="1:15" s="2" customFormat="1" ht="39" customHeight="1" thickBot="1" x14ac:dyDescent="0.25">
      <c r="A10" s="103"/>
      <c r="B10" s="104"/>
      <c r="C10" s="104"/>
      <c r="D10" s="94" t="s">
        <v>57</v>
      </c>
      <c r="E10" s="94"/>
      <c r="F10" s="94" t="s">
        <v>58</v>
      </c>
      <c r="G10" s="94"/>
      <c r="H10" s="94" t="s">
        <v>50</v>
      </c>
      <c r="I10" s="94"/>
      <c r="J10" s="95" t="s">
        <v>51</v>
      </c>
      <c r="K10" s="95"/>
      <c r="L10" s="96" t="s">
        <v>52</v>
      </c>
      <c r="M10" s="97"/>
    </row>
    <row r="11" spans="1:15" ht="15.75" customHeight="1" thickBot="1" x14ac:dyDescent="0.25">
      <c r="A11" s="7" t="s">
        <v>4</v>
      </c>
      <c r="B11" s="8" t="s">
        <v>5</v>
      </c>
      <c r="C11" s="47" t="s">
        <v>6</v>
      </c>
      <c r="D11" s="43" t="s">
        <v>7</v>
      </c>
      <c r="E11" s="36" t="s">
        <v>8</v>
      </c>
      <c r="F11" s="36" t="s">
        <v>7</v>
      </c>
      <c r="G11" s="36" t="s">
        <v>8</v>
      </c>
      <c r="H11" s="36" t="s">
        <v>7</v>
      </c>
      <c r="I11" s="36" t="s">
        <v>8</v>
      </c>
      <c r="J11" s="36" t="s">
        <v>7</v>
      </c>
      <c r="K11" s="36" t="s">
        <v>8</v>
      </c>
      <c r="L11" s="36" t="s">
        <v>7</v>
      </c>
      <c r="M11" s="37" t="s">
        <v>8</v>
      </c>
    </row>
    <row r="12" spans="1:15" x14ac:dyDescent="0.2">
      <c r="A12" s="44">
        <v>1</v>
      </c>
      <c r="B12" s="45">
        <v>1098805906</v>
      </c>
      <c r="C12" s="46" t="s">
        <v>17</v>
      </c>
      <c r="D12" s="38">
        <v>46051</v>
      </c>
      <c r="E12" s="39" t="s">
        <v>103</v>
      </c>
      <c r="F12" s="39">
        <f>D$12+7</f>
        <v>46058</v>
      </c>
      <c r="G12" s="39" t="s">
        <v>128</v>
      </c>
      <c r="H12" s="39">
        <f>F12+2</f>
        <v>46060</v>
      </c>
      <c r="I12" s="39"/>
      <c r="J12" s="39">
        <f>H12+1</f>
        <v>46061</v>
      </c>
      <c r="K12" s="39"/>
      <c r="L12" s="39">
        <f>J12+1</f>
        <v>46062</v>
      </c>
      <c r="M12" s="40"/>
    </row>
    <row r="13" spans="1:15" x14ac:dyDescent="0.2">
      <c r="A13" s="4">
        <v>2</v>
      </c>
      <c r="B13" s="24">
        <v>1095838804</v>
      </c>
      <c r="C13" s="34" t="s">
        <v>18</v>
      </c>
      <c r="D13" s="41">
        <v>46051</v>
      </c>
      <c r="E13" s="14" t="s">
        <v>128</v>
      </c>
      <c r="F13" s="14">
        <f t="shared" ref="F13:F26" si="0">D$12+7</f>
        <v>46058</v>
      </c>
      <c r="G13" s="14"/>
      <c r="H13" s="14">
        <f t="shared" ref="H13:H26" si="1">F13+2</f>
        <v>46060</v>
      </c>
      <c r="I13" s="14"/>
      <c r="J13" s="14">
        <f t="shared" ref="J13:J26" si="2">H13+1</f>
        <v>46061</v>
      </c>
      <c r="K13" s="14"/>
      <c r="L13" s="14">
        <f t="shared" ref="L13:L26" si="3">J13+1</f>
        <v>46062</v>
      </c>
      <c r="M13" s="18"/>
    </row>
    <row r="14" spans="1:15" x14ac:dyDescent="0.2">
      <c r="A14" s="4">
        <v>3</v>
      </c>
      <c r="B14" s="24">
        <v>1050547441</v>
      </c>
      <c r="C14" s="34" t="s">
        <v>19</v>
      </c>
      <c r="D14" s="41">
        <v>46051</v>
      </c>
      <c r="E14" s="14" t="s">
        <v>103</v>
      </c>
      <c r="F14" s="14">
        <f t="shared" si="0"/>
        <v>46058</v>
      </c>
      <c r="G14" s="14"/>
      <c r="H14" s="14">
        <f t="shared" si="1"/>
        <v>46060</v>
      </c>
      <c r="I14" s="14"/>
      <c r="J14" s="14">
        <f t="shared" si="2"/>
        <v>46061</v>
      </c>
      <c r="K14" s="14"/>
      <c r="L14" s="14">
        <f t="shared" si="3"/>
        <v>46062</v>
      </c>
      <c r="M14" s="18"/>
    </row>
    <row r="15" spans="1:15" x14ac:dyDescent="0.2">
      <c r="A15" s="4">
        <v>4</v>
      </c>
      <c r="B15" s="24">
        <v>1095814477</v>
      </c>
      <c r="C15" s="34" t="s">
        <v>20</v>
      </c>
      <c r="D15" s="41">
        <v>46051</v>
      </c>
      <c r="E15" s="14" t="s">
        <v>103</v>
      </c>
      <c r="F15" s="14">
        <f t="shared" si="0"/>
        <v>46058</v>
      </c>
      <c r="G15" s="14" t="s">
        <v>103</v>
      </c>
      <c r="H15" s="14">
        <f t="shared" si="1"/>
        <v>46060</v>
      </c>
      <c r="I15" s="14"/>
      <c r="J15" s="14">
        <f t="shared" si="2"/>
        <v>46061</v>
      </c>
      <c r="K15" s="14"/>
      <c r="L15" s="14">
        <f t="shared" si="3"/>
        <v>46062</v>
      </c>
      <c r="M15" s="18"/>
    </row>
    <row r="16" spans="1:15" x14ac:dyDescent="0.2">
      <c r="A16" s="4">
        <v>5</v>
      </c>
      <c r="B16" s="24">
        <v>1004912749</v>
      </c>
      <c r="C16" s="34" t="s">
        <v>21</v>
      </c>
      <c r="D16" s="41">
        <v>46051</v>
      </c>
      <c r="E16" s="14" t="s">
        <v>103</v>
      </c>
      <c r="F16" s="14">
        <f t="shared" si="0"/>
        <v>46058</v>
      </c>
      <c r="G16" s="14"/>
      <c r="H16" s="14">
        <f t="shared" si="1"/>
        <v>46060</v>
      </c>
      <c r="I16" s="14"/>
      <c r="J16" s="14">
        <f t="shared" si="2"/>
        <v>46061</v>
      </c>
      <c r="K16" s="14"/>
      <c r="L16" s="14">
        <f t="shared" si="3"/>
        <v>46062</v>
      </c>
      <c r="M16" s="18"/>
    </row>
    <row r="17" spans="1:14" x14ac:dyDescent="0.2">
      <c r="A17" s="4">
        <v>6</v>
      </c>
      <c r="B17" s="24">
        <v>1097496752</v>
      </c>
      <c r="C17" s="34" t="s">
        <v>22</v>
      </c>
      <c r="D17" s="41">
        <v>46051</v>
      </c>
      <c r="E17" s="14" t="s">
        <v>103</v>
      </c>
      <c r="F17" s="14">
        <f t="shared" si="0"/>
        <v>46058</v>
      </c>
      <c r="G17" s="14"/>
      <c r="H17" s="14">
        <f t="shared" si="1"/>
        <v>46060</v>
      </c>
      <c r="I17" s="14"/>
      <c r="J17" s="14">
        <f t="shared" si="2"/>
        <v>46061</v>
      </c>
      <c r="K17" s="14"/>
      <c r="L17" s="14">
        <f t="shared" si="3"/>
        <v>46062</v>
      </c>
      <c r="M17" s="18"/>
    </row>
    <row r="18" spans="1:14" x14ac:dyDescent="0.2">
      <c r="A18" s="4">
        <v>7</v>
      </c>
      <c r="B18" s="24">
        <v>1097912512</v>
      </c>
      <c r="C18" s="34" t="s">
        <v>23</v>
      </c>
      <c r="D18" s="41">
        <v>46051</v>
      </c>
      <c r="E18" s="14" t="s">
        <v>103</v>
      </c>
      <c r="F18" s="14">
        <f t="shared" si="0"/>
        <v>46058</v>
      </c>
      <c r="G18" s="14"/>
      <c r="H18" s="14">
        <f t="shared" si="1"/>
        <v>46060</v>
      </c>
      <c r="I18" s="14"/>
      <c r="J18" s="14">
        <f t="shared" si="2"/>
        <v>46061</v>
      </c>
      <c r="K18" s="14"/>
      <c r="L18" s="14">
        <f t="shared" si="3"/>
        <v>46062</v>
      </c>
      <c r="M18" s="18"/>
    </row>
    <row r="19" spans="1:14" x14ac:dyDescent="0.2">
      <c r="A19" s="4">
        <v>8</v>
      </c>
      <c r="B19" s="24">
        <v>1007669080</v>
      </c>
      <c r="C19" s="34" t="s">
        <v>24</v>
      </c>
      <c r="D19" s="41">
        <v>46051</v>
      </c>
      <c r="E19" s="14" t="s">
        <v>103</v>
      </c>
      <c r="F19" s="14">
        <f t="shared" si="0"/>
        <v>46058</v>
      </c>
      <c r="G19" s="14" t="s">
        <v>103</v>
      </c>
      <c r="H19" s="14">
        <f t="shared" si="1"/>
        <v>46060</v>
      </c>
      <c r="I19" s="14"/>
      <c r="J19" s="14">
        <f t="shared" si="2"/>
        <v>46061</v>
      </c>
      <c r="K19" s="14"/>
      <c r="L19" s="14">
        <f t="shared" si="3"/>
        <v>46062</v>
      </c>
      <c r="M19" s="18"/>
    </row>
    <row r="20" spans="1:14" x14ac:dyDescent="0.2">
      <c r="A20" s="4">
        <v>9</v>
      </c>
      <c r="B20" s="24">
        <v>1097782785</v>
      </c>
      <c r="C20" s="34" t="s">
        <v>25</v>
      </c>
      <c r="D20" s="41">
        <v>46051</v>
      </c>
      <c r="E20" s="14" t="s">
        <v>103</v>
      </c>
      <c r="F20" s="14">
        <f t="shared" si="0"/>
        <v>46058</v>
      </c>
      <c r="G20" s="14" t="s">
        <v>103</v>
      </c>
      <c r="H20" s="14">
        <f t="shared" si="1"/>
        <v>46060</v>
      </c>
      <c r="I20" s="14"/>
      <c r="J20" s="14">
        <f t="shared" si="2"/>
        <v>46061</v>
      </c>
      <c r="K20" s="14"/>
      <c r="L20" s="14">
        <f t="shared" si="3"/>
        <v>46062</v>
      </c>
      <c r="M20" s="18"/>
    </row>
    <row r="21" spans="1:14" x14ac:dyDescent="0.2">
      <c r="A21" s="4">
        <v>10</v>
      </c>
      <c r="B21" s="24">
        <v>1005150095</v>
      </c>
      <c r="C21" s="34" t="s">
        <v>26</v>
      </c>
      <c r="D21" s="41">
        <v>46051</v>
      </c>
      <c r="E21" s="14" t="s">
        <v>103</v>
      </c>
      <c r="F21" s="14">
        <f t="shared" si="0"/>
        <v>46058</v>
      </c>
      <c r="G21" s="14" t="s">
        <v>103</v>
      </c>
      <c r="H21" s="14">
        <f t="shared" si="1"/>
        <v>46060</v>
      </c>
      <c r="I21" s="14"/>
      <c r="J21" s="14">
        <f t="shared" si="2"/>
        <v>46061</v>
      </c>
      <c r="K21" s="14"/>
      <c r="L21" s="14">
        <f t="shared" si="3"/>
        <v>46062</v>
      </c>
      <c r="M21" s="18"/>
    </row>
    <row r="22" spans="1:14" x14ac:dyDescent="0.2">
      <c r="A22" s="4">
        <v>11</v>
      </c>
      <c r="B22" s="24">
        <v>1102356440</v>
      </c>
      <c r="C22" s="34" t="s">
        <v>27</v>
      </c>
      <c r="D22" s="41">
        <v>46051</v>
      </c>
      <c r="E22" s="14" t="s">
        <v>103</v>
      </c>
      <c r="F22" s="14">
        <f t="shared" si="0"/>
        <v>46058</v>
      </c>
      <c r="G22" s="14" t="s">
        <v>128</v>
      </c>
      <c r="H22" s="14">
        <f t="shared" si="1"/>
        <v>46060</v>
      </c>
      <c r="I22" s="14"/>
      <c r="J22" s="14">
        <f t="shared" si="2"/>
        <v>46061</v>
      </c>
      <c r="K22" s="14"/>
      <c r="L22" s="14">
        <f t="shared" si="3"/>
        <v>46062</v>
      </c>
      <c r="M22" s="18"/>
    </row>
    <row r="23" spans="1:14" x14ac:dyDescent="0.2">
      <c r="A23" s="4">
        <v>12</v>
      </c>
      <c r="B23" s="24">
        <v>1103672243</v>
      </c>
      <c r="C23" s="34" t="s">
        <v>28</v>
      </c>
      <c r="D23" s="41">
        <v>46051</v>
      </c>
      <c r="E23" s="14" t="s">
        <v>103</v>
      </c>
      <c r="F23" s="14">
        <f t="shared" si="0"/>
        <v>46058</v>
      </c>
      <c r="G23" s="14"/>
      <c r="H23" s="14">
        <f t="shared" si="1"/>
        <v>46060</v>
      </c>
      <c r="I23" s="14"/>
      <c r="J23" s="14">
        <f t="shared" si="2"/>
        <v>46061</v>
      </c>
      <c r="K23" s="14"/>
      <c r="L23" s="14">
        <f t="shared" si="3"/>
        <v>46062</v>
      </c>
      <c r="M23" s="18"/>
    </row>
    <row r="24" spans="1:14" x14ac:dyDescent="0.2">
      <c r="A24" s="4">
        <v>13</v>
      </c>
      <c r="B24" s="24">
        <v>1004945055</v>
      </c>
      <c r="C24" s="34" t="s">
        <v>29</v>
      </c>
      <c r="D24" s="41">
        <v>46051</v>
      </c>
      <c r="E24" s="14" t="s">
        <v>103</v>
      </c>
      <c r="F24" s="14">
        <f t="shared" si="0"/>
        <v>46058</v>
      </c>
      <c r="G24" s="14" t="s">
        <v>103</v>
      </c>
      <c r="H24" s="14">
        <f t="shared" si="1"/>
        <v>46060</v>
      </c>
      <c r="I24" s="14"/>
      <c r="J24" s="14">
        <f t="shared" si="2"/>
        <v>46061</v>
      </c>
      <c r="K24" s="14"/>
      <c r="L24" s="14">
        <f t="shared" si="3"/>
        <v>46062</v>
      </c>
      <c r="M24" s="18"/>
    </row>
    <row r="25" spans="1:14" x14ac:dyDescent="0.2">
      <c r="A25" s="4">
        <v>14</v>
      </c>
      <c r="B25" s="24">
        <v>1005373507</v>
      </c>
      <c r="C25" s="34" t="s">
        <v>30</v>
      </c>
      <c r="D25" s="41">
        <v>46051</v>
      </c>
      <c r="E25" s="14" t="s">
        <v>103</v>
      </c>
      <c r="F25" s="14">
        <f t="shared" si="0"/>
        <v>46058</v>
      </c>
      <c r="G25" s="14" t="s">
        <v>103</v>
      </c>
      <c r="H25" s="14">
        <f t="shared" si="1"/>
        <v>46060</v>
      </c>
      <c r="I25" s="14"/>
      <c r="J25" s="14">
        <f t="shared" si="2"/>
        <v>46061</v>
      </c>
      <c r="K25" s="14"/>
      <c r="L25" s="14">
        <f t="shared" si="3"/>
        <v>46062</v>
      </c>
      <c r="M25" s="18"/>
    </row>
    <row r="26" spans="1:14" s="9" customFormat="1" ht="10.8" thickBot="1" x14ac:dyDescent="0.25">
      <c r="A26" s="19">
        <v>15</v>
      </c>
      <c r="B26" s="25">
        <v>1099736902</v>
      </c>
      <c r="C26" s="35" t="s">
        <v>31</v>
      </c>
      <c r="D26" s="42">
        <v>46051</v>
      </c>
      <c r="E26" s="22" t="s">
        <v>103</v>
      </c>
      <c r="F26" s="22">
        <f t="shared" si="0"/>
        <v>46058</v>
      </c>
      <c r="G26" s="22" t="s">
        <v>103</v>
      </c>
      <c r="H26" s="22">
        <f t="shared" si="1"/>
        <v>46060</v>
      </c>
      <c r="I26" s="22"/>
      <c r="J26" s="22">
        <f t="shared" si="2"/>
        <v>46061</v>
      </c>
      <c r="K26" s="22"/>
      <c r="L26" s="22">
        <f t="shared" si="3"/>
        <v>46062</v>
      </c>
      <c r="M26" s="23"/>
      <c r="N26" s="15"/>
    </row>
  </sheetData>
  <mergeCells count="19">
    <mergeCell ref="H10:I10"/>
    <mergeCell ref="J10:K10"/>
    <mergeCell ref="L10:M10"/>
    <mergeCell ref="A8:B8"/>
    <mergeCell ref="C8:M8"/>
    <mergeCell ref="A9:C10"/>
    <mergeCell ref="D9:E9"/>
    <mergeCell ref="F9:G9"/>
    <mergeCell ref="H9:I9"/>
    <mergeCell ref="J9:K9"/>
    <mergeCell ref="L9:M9"/>
    <mergeCell ref="D10:E10"/>
    <mergeCell ref="F10:G10"/>
    <mergeCell ref="A1:M5"/>
    <mergeCell ref="C6:D6"/>
    <mergeCell ref="G6:H6"/>
    <mergeCell ref="I6:M6"/>
    <mergeCell ref="A7:B7"/>
    <mergeCell ref="C7:M7"/>
  </mergeCells>
  <phoneticPr fontId="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969DE-8418-4193-B030-D027E241B852}">
  <dimension ref="A1:M26"/>
  <sheetViews>
    <sheetView zoomScaleNormal="100" workbookViewId="0">
      <selection activeCell="E12" sqref="E12"/>
    </sheetView>
  </sheetViews>
  <sheetFormatPr baseColWidth="10" defaultColWidth="11.44140625" defaultRowHeight="10.199999999999999" x14ac:dyDescent="0.2"/>
  <cols>
    <col min="1" max="1" width="5" style="1" bestFit="1" customWidth="1"/>
    <col min="2" max="2" width="9.5546875" style="3" bestFit="1" customWidth="1"/>
    <col min="3" max="3" width="30.109375" style="3" bestFit="1" customWidth="1"/>
    <col min="4" max="4" width="8.5546875" style="1" customWidth="1"/>
    <col min="5" max="5" width="5.6640625" style="1" customWidth="1"/>
    <col min="6" max="6" width="8.5546875" style="1" customWidth="1"/>
    <col min="7" max="7" width="5.6640625" style="1" customWidth="1"/>
    <col min="8" max="8" width="8.5546875" style="1" customWidth="1"/>
    <col min="9" max="9" width="5.6640625" style="1" customWidth="1"/>
    <col min="10" max="10" width="8.5546875" style="1" customWidth="1"/>
    <col min="11" max="11" width="5.6640625" style="1" customWidth="1"/>
    <col min="12" max="12" width="8.5546875" style="1" customWidth="1"/>
    <col min="13" max="13" width="5.6640625" style="1" customWidth="1"/>
    <col min="14" max="16384" width="11.44140625" style="1"/>
  </cols>
  <sheetData>
    <row r="1" spans="1:13" x14ac:dyDescent="0.2">
      <c r="A1" s="76" t="s">
        <v>37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8"/>
    </row>
    <row r="2" spans="1:13" x14ac:dyDescent="0.2">
      <c r="A2" s="79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1:13" x14ac:dyDescent="0.2">
      <c r="A3" s="79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1"/>
    </row>
    <row r="4" spans="1:13" x14ac:dyDescent="0.2">
      <c r="A4" s="82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1"/>
    </row>
    <row r="5" spans="1:13" ht="10.8" thickBot="1" x14ac:dyDescent="0.25">
      <c r="A5" s="83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32.25" customHeight="1" thickBot="1" x14ac:dyDescent="0.25">
      <c r="A6" s="5" t="s">
        <v>0</v>
      </c>
      <c r="B6" s="6">
        <v>2993128</v>
      </c>
      <c r="C6" s="86" t="s">
        <v>9</v>
      </c>
      <c r="D6" s="86"/>
      <c r="E6" s="10" t="s">
        <v>1</v>
      </c>
      <c r="F6" s="11" t="s">
        <v>33</v>
      </c>
      <c r="G6" s="87" t="s">
        <v>10</v>
      </c>
      <c r="H6" s="87"/>
      <c r="I6" s="88" t="s">
        <v>32</v>
      </c>
      <c r="J6" s="88"/>
      <c r="K6" s="88"/>
      <c r="L6" s="88"/>
      <c r="M6" s="89"/>
    </row>
    <row r="7" spans="1:13" ht="10.8" thickBot="1" x14ac:dyDescent="0.25">
      <c r="A7" s="90" t="s">
        <v>2</v>
      </c>
      <c r="B7" s="91"/>
      <c r="C7" s="92" t="s">
        <v>34</v>
      </c>
      <c r="D7" s="92"/>
      <c r="E7" s="92"/>
      <c r="F7" s="92"/>
      <c r="G7" s="92"/>
      <c r="H7" s="92"/>
      <c r="I7" s="92"/>
      <c r="J7" s="92"/>
      <c r="K7" s="92"/>
      <c r="L7" s="92"/>
      <c r="M7" s="93"/>
    </row>
    <row r="8" spans="1:13" ht="23.25" customHeight="1" thickBot="1" x14ac:dyDescent="0.25">
      <c r="A8" s="90" t="s">
        <v>35</v>
      </c>
      <c r="B8" s="98"/>
      <c r="C8" s="99" t="s">
        <v>36</v>
      </c>
      <c r="D8" s="91"/>
      <c r="E8" s="91"/>
      <c r="F8" s="91"/>
      <c r="G8" s="91"/>
      <c r="H8" s="91"/>
      <c r="I8" s="91"/>
      <c r="J8" s="91"/>
      <c r="K8" s="91"/>
      <c r="L8" s="91"/>
      <c r="M8" s="100"/>
    </row>
    <row r="9" spans="1:13" x14ac:dyDescent="0.2">
      <c r="A9" s="101" t="s">
        <v>3</v>
      </c>
      <c r="B9" s="102"/>
      <c r="C9" s="102"/>
      <c r="D9" s="105" t="s">
        <v>11</v>
      </c>
      <c r="E9" s="105"/>
      <c r="F9" s="105" t="s">
        <v>12</v>
      </c>
      <c r="G9" s="105"/>
      <c r="H9" s="105" t="s">
        <v>13</v>
      </c>
      <c r="I9" s="105"/>
      <c r="J9" s="105" t="s">
        <v>14</v>
      </c>
      <c r="K9" s="105"/>
      <c r="L9" s="105" t="s">
        <v>15</v>
      </c>
      <c r="M9" s="106"/>
    </row>
    <row r="10" spans="1:13" s="2" customFormat="1" ht="39" customHeight="1" thickBot="1" x14ac:dyDescent="0.25">
      <c r="A10" s="103"/>
      <c r="B10" s="104"/>
      <c r="C10" s="104"/>
      <c r="D10" s="94" t="s">
        <v>93</v>
      </c>
      <c r="E10" s="94"/>
      <c r="F10" s="94" t="s">
        <v>61</v>
      </c>
      <c r="G10" s="94"/>
      <c r="H10" s="94" t="s">
        <v>60</v>
      </c>
      <c r="I10" s="94"/>
      <c r="J10" s="95" t="s">
        <v>62</v>
      </c>
      <c r="K10" s="95"/>
      <c r="L10" s="96" t="s">
        <v>94</v>
      </c>
      <c r="M10" s="97"/>
    </row>
    <row r="11" spans="1:13" ht="15.75" customHeight="1" thickBot="1" x14ac:dyDescent="0.25">
      <c r="A11" s="7" t="s">
        <v>4</v>
      </c>
      <c r="B11" s="8" t="s">
        <v>5</v>
      </c>
      <c r="C11" s="47" t="s">
        <v>6</v>
      </c>
      <c r="D11" s="48" t="s">
        <v>7</v>
      </c>
      <c r="E11" s="16" t="s">
        <v>8</v>
      </c>
      <c r="F11" s="16" t="s">
        <v>7</v>
      </c>
      <c r="G11" s="16" t="s">
        <v>8</v>
      </c>
      <c r="H11" s="16" t="s">
        <v>7</v>
      </c>
      <c r="I11" s="16" t="s">
        <v>8</v>
      </c>
      <c r="J11" s="16" t="s">
        <v>7</v>
      </c>
      <c r="K11" s="16" t="s">
        <v>8</v>
      </c>
      <c r="L11" s="16" t="s">
        <v>7</v>
      </c>
      <c r="M11" s="17" t="s">
        <v>8</v>
      </c>
    </row>
    <row r="12" spans="1:13" x14ac:dyDescent="0.2">
      <c r="A12" s="44">
        <v>1</v>
      </c>
      <c r="B12" s="45">
        <v>1098805906</v>
      </c>
      <c r="C12" s="49" t="s">
        <v>17</v>
      </c>
      <c r="D12" s="13">
        <v>46063</v>
      </c>
      <c r="E12" s="14"/>
      <c r="F12" s="14">
        <f>$D12+1</f>
        <v>46064</v>
      </c>
      <c r="G12" s="14"/>
      <c r="H12" s="14">
        <f>F12+5</f>
        <v>46069</v>
      </c>
      <c r="I12" s="14"/>
      <c r="J12" s="14">
        <f>H12+5</f>
        <v>46074</v>
      </c>
      <c r="K12" s="14"/>
      <c r="L12" s="14">
        <f>J12+3</f>
        <v>46077</v>
      </c>
      <c r="M12" s="18"/>
    </row>
    <row r="13" spans="1:13" x14ac:dyDescent="0.2">
      <c r="A13" s="4">
        <v>2</v>
      </c>
      <c r="B13" s="24">
        <v>1095838804</v>
      </c>
      <c r="C13" s="12" t="s">
        <v>18</v>
      </c>
      <c r="D13" s="13">
        <v>46063</v>
      </c>
      <c r="E13" s="14"/>
      <c r="F13" s="14">
        <f t="shared" ref="F13:F26" si="0">$D13+1</f>
        <v>46064</v>
      </c>
      <c r="G13" s="14"/>
      <c r="H13" s="14">
        <f t="shared" ref="H13:H26" si="1">F13+5</f>
        <v>46069</v>
      </c>
      <c r="I13" s="14"/>
      <c r="J13" s="14">
        <f t="shared" ref="J13:J26" si="2">H13+5</f>
        <v>46074</v>
      </c>
      <c r="K13" s="14"/>
      <c r="L13" s="14">
        <f t="shared" ref="L13:L26" si="3">J13+3</f>
        <v>46077</v>
      </c>
      <c r="M13" s="18"/>
    </row>
    <row r="14" spans="1:13" x14ac:dyDescent="0.2">
      <c r="A14" s="4">
        <v>3</v>
      </c>
      <c r="B14" s="24">
        <v>1050547441</v>
      </c>
      <c r="C14" s="12" t="s">
        <v>19</v>
      </c>
      <c r="D14" s="13">
        <v>46063</v>
      </c>
      <c r="E14" s="14"/>
      <c r="F14" s="14">
        <f t="shared" si="0"/>
        <v>46064</v>
      </c>
      <c r="G14" s="14"/>
      <c r="H14" s="14">
        <f t="shared" si="1"/>
        <v>46069</v>
      </c>
      <c r="I14" s="14"/>
      <c r="J14" s="14">
        <f t="shared" si="2"/>
        <v>46074</v>
      </c>
      <c r="K14" s="14"/>
      <c r="L14" s="14">
        <f t="shared" si="3"/>
        <v>46077</v>
      </c>
      <c r="M14" s="18"/>
    </row>
    <row r="15" spans="1:13" x14ac:dyDescent="0.2">
      <c r="A15" s="4">
        <v>4</v>
      </c>
      <c r="B15" s="24">
        <v>1095814477</v>
      </c>
      <c r="C15" s="12" t="s">
        <v>20</v>
      </c>
      <c r="D15" s="13">
        <v>46063</v>
      </c>
      <c r="E15" s="14"/>
      <c r="F15" s="14">
        <f t="shared" si="0"/>
        <v>46064</v>
      </c>
      <c r="G15" s="14"/>
      <c r="H15" s="14">
        <f t="shared" si="1"/>
        <v>46069</v>
      </c>
      <c r="I15" s="14"/>
      <c r="J15" s="14">
        <f t="shared" si="2"/>
        <v>46074</v>
      </c>
      <c r="K15" s="14"/>
      <c r="L15" s="14">
        <f t="shared" si="3"/>
        <v>46077</v>
      </c>
      <c r="M15" s="18"/>
    </row>
    <row r="16" spans="1:13" x14ac:dyDescent="0.2">
      <c r="A16" s="4">
        <v>5</v>
      </c>
      <c r="B16" s="24">
        <v>1004912749</v>
      </c>
      <c r="C16" s="12" t="s">
        <v>21</v>
      </c>
      <c r="D16" s="13">
        <v>46063</v>
      </c>
      <c r="E16" s="14"/>
      <c r="F16" s="14">
        <f t="shared" si="0"/>
        <v>46064</v>
      </c>
      <c r="G16" s="14"/>
      <c r="H16" s="14">
        <f t="shared" si="1"/>
        <v>46069</v>
      </c>
      <c r="I16" s="14"/>
      <c r="J16" s="14">
        <f t="shared" si="2"/>
        <v>46074</v>
      </c>
      <c r="K16" s="14"/>
      <c r="L16" s="14">
        <f t="shared" si="3"/>
        <v>46077</v>
      </c>
      <c r="M16" s="18"/>
    </row>
    <row r="17" spans="1:13" x14ac:dyDescent="0.2">
      <c r="A17" s="4">
        <v>6</v>
      </c>
      <c r="B17" s="24">
        <v>1097496752</v>
      </c>
      <c r="C17" s="12" t="s">
        <v>22</v>
      </c>
      <c r="D17" s="13">
        <v>46063</v>
      </c>
      <c r="E17" s="14"/>
      <c r="F17" s="14">
        <f t="shared" si="0"/>
        <v>46064</v>
      </c>
      <c r="G17" s="14"/>
      <c r="H17" s="14">
        <f t="shared" si="1"/>
        <v>46069</v>
      </c>
      <c r="I17" s="14"/>
      <c r="J17" s="14">
        <f t="shared" si="2"/>
        <v>46074</v>
      </c>
      <c r="K17" s="14"/>
      <c r="L17" s="14">
        <f t="shared" si="3"/>
        <v>46077</v>
      </c>
      <c r="M17" s="18"/>
    </row>
    <row r="18" spans="1:13" x14ac:dyDescent="0.2">
      <c r="A18" s="4">
        <v>7</v>
      </c>
      <c r="B18" s="24">
        <v>1097912512</v>
      </c>
      <c r="C18" s="12" t="s">
        <v>23</v>
      </c>
      <c r="D18" s="13">
        <v>46063</v>
      </c>
      <c r="E18" s="14"/>
      <c r="F18" s="14">
        <f t="shared" si="0"/>
        <v>46064</v>
      </c>
      <c r="G18" s="14"/>
      <c r="H18" s="14">
        <f t="shared" si="1"/>
        <v>46069</v>
      </c>
      <c r="I18" s="14"/>
      <c r="J18" s="14">
        <f t="shared" si="2"/>
        <v>46074</v>
      </c>
      <c r="K18" s="14"/>
      <c r="L18" s="14">
        <f t="shared" si="3"/>
        <v>46077</v>
      </c>
      <c r="M18" s="18"/>
    </row>
    <row r="19" spans="1:13" x14ac:dyDescent="0.2">
      <c r="A19" s="4">
        <v>8</v>
      </c>
      <c r="B19" s="24">
        <v>1007669080</v>
      </c>
      <c r="C19" s="12" t="s">
        <v>24</v>
      </c>
      <c r="D19" s="13">
        <v>46063</v>
      </c>
      <c r="E19" s="14"/>
      <c r="F19" s="14">
        <f t="shared" si="0"/>
        <v>46064</v>
      </c>
      <c r="G19" s="14"/>
      <c r="H19" s="14">
        <f t="shared" si="1"/>
        <v>46069</v>
      </c>
      <c r="I19" s="14"/>
      <c r="J19" s="14">
        <f t="shared" si="2"/>
        <v>46074</v>
      </c>
      <c r="K19" s="14"/>
      <c r="L19" s="14">
        <f t="shared" si="3"/>
        <v>46077</v>
      </c>
      <c r="M19" s="18"/>
    </row>
    <row r="20" spans="1:13" x14ac:dyDescent="0.2">
      <c r="A20" s="4">
        <v>9</v>
      </c>
      <c r="B20" s="24">
        <v>1097782785</v>
      </c>
      <c r="C20" s="12" t="s">
        <v>25</v>
      </c>
      <c r="D20" s="13">
        <v>46063</v>
      </c>
      <c r="E20" s="14"/>
      <c r="F20" s="14">
        <f t="shared" si="0"/>
        <v>46064</v>
      </c>
      <c r="G20" s="14"/>
      <c r="H20" s="14">
        <f t="shared" si="1"/>
        <v>46069</v>
      </c>
      <c r="I20" s="14"/>
      <c r="J20" s="14">
        <f t="shared" si="2"/>
        <v>46074</v>
      </c>
      <c r="K20" s="14"/>
      <c r="L20" s="14">
        <f t="shared" si="3"/>
        <v>46077</v>
      </c>
      <c r="M20" s="18"/>
    </row>
    <row r="21" spans="1:13" x14ac:dyDescent="0.2">
      <c r="A21" s="4">
        <v>10</v>
      </c>
      <c r="B21" s="24">
        <v>1005150095</v>
      </c>
      <c r="C21" s="12" t="s">
        <v>26</v>
      </c>
      <c r="D21" s="13">
        <v>46063</v>
      </c>
      <c r="E21" s="14"/>
      <c r="F21" s="14">
        <f t="shared" si="0"/>
        <v>46064</v>
      </c>
      <c r="G21" s="14"/>
      <c r="H21" s="14">
        <f t="shared" si="1"/>
        <v>46069</v>
      </c>
      <c r="I21" s="14"/>
      <c r="J21" s="14">
        <f t="shared" si="2"/>
        <v>46074</v>
      </c>
      <c r="K21" s="14"/>
      <c r="L21" s="14">
        <f t="shared" si="3"/>
        <v>46077</v>
      </c>
      <c r="M21" s="18"/>
    </row>
    <row r="22" spans="1:13" x14ac:dyDescent="0.2">
      <c r="A22" s="4">
        <v>11</v>
      </c>
      <c r="B22" s="24">
        <v>1102356440</v>
      </c>
      <c r="C22" s="12" t="s">
        <v>27</v>
      </c>
      <c r="D22" s="13">
        <v>46063</v>
      </c>
      <c r="E22" s="14"/>
      <c r="F22" s="14">
        <f t="shared" si="0"/>
        <v>46064</v>
      </c>
      <c r="G22" s="14"/>
      <c r="H22" s="14">
        <f t="shared" si="1"/>
        <v>46069</v>
      </c>
      <c r="I22" s="14"/>
      <c r="J22" s="14">
        <f t="shared" si="2"/>
        <v>46074</v>
      </c>
      <c r="K22" s="14"/>
      <c r="L22" s="14">
        <f t="shared" si="3"/>
        <v>46077</v>
      </c>
      <c r="M22" s="18"/>
    </row>
    <row r="23" spans="1:13" x14ac:dyDescent="0.2">
      <c r="A23" s="4">
        <v>12</v>
      </c>
      <c r="B23" s="24">
        <v>1103672243</v>
      </c>
      <c r="C23" s="12" t="s">
        <v>28</v>
      </c>
      <c r="D23" s="13">
        <v>46063</v>
      </c>
      <c r="E23" s="14"/>
      <c r="F23" s="14">
        <f t="shared" si="0"/>
        <v>46064</v>
      </c>
      <c r="G23" s="14"/>
      <c r="H23" s="14">
        <f t="shared" si="1"/>
        <v>46069</v>
      </c>
      <c r="I23" s="14"/>
      <c r="J23" s="14">
        <f t="shared" si="2"/>
        <v>46074</v>
      </c>
      <c r="K23" s="14"/>
      <c r="L23" s="14">
        <f t="shared" si="3"/>
        <v>46077</v>
      </c>
      <c r="M23" s="18"/>
    </row>
    <row r="24" spans="1:13" x14ac:dyDescent="0.2">
      <c r="A24" s="4">
        <v>13</v>
      </c>
      <c r="B24" s="24">
        <v>1004945055</v>
      </c>
      <c r="C24" s="12" t="s">
        <v>29</v>
      </c>
      <c r="D24" s="13">
        <v>46063</v>
      </c>
      <c r="E24" s="14"/>
      <c r="F24" s="14">
        <f t="shared" si="0"/>
        <v>46064</v>
      </c>
      <c r="G24" s="14"/>
      <c r="H24" s="14">
        <f t="shared" si="1"/>
        <v>46069</v>
      </c>
      <c r="I24" s="14"/>
      <c r="J24" s="14">
        <f t="shared" si="2"/>
        <v>46074</v>
      </c>
      <c r="K24" s="14"/>
      <c r="L24" s="14">
        <f t="shared" si="3"/>
        <v>46077</v>
      </c>
      <c r="M24" s="18"/>
    </row>
    <row r="25" spans="1:13" x14ac:dyDescent="0.2">
      <c r="A25" s="4">
        <v>14</v>
      </c>
      <c r="B25" s="24">
        <v>1005373507</v>
      </c>
      <c r="C25" s="12" t="s">
        <v>30</v>
      </c>
      <c r="D25" s="13">
        <v>46063</v>
      </c>
      <c r="E25" s="14"/>
      <c r="F25" s="14">
        <f t="shared" si="0"/>
        <v>46064</v>
      </c>
      <c r="G25" s="14"/>
      <c r="H25" s="14">
        <f t="shared" si="1"/>
        <v>46069</v>
      </c>
      <c r="I25" s="14"/>
      <c r="J25" s="14">
        <f t="shared" si="2"/>
        <v>46074</v>
      </c>
      <c r="K25" s="14"/>
      <c r="L25" s="14">
        <f t="shared" si="3"/>
        <v>46077</v>
      </c>
      <c r="M25" s="18"/>
    </row>
    <row r="26" spans="1:13" s="9" customFormat="1" ht="10.8" thickBot="1" x14ac:dyDescent="0.25">
      <c r="A26" s="19">
        <v>15</v>
      </c>
      <c r="B26" s="25">
        <v>1099736902</v>
      </c>
      <c r="C26" s="20" t="s">
        <v>31</v>
      </c>
      <c r="D26" s="21">
        <v>46063</v>
      </c>
      <c r="E26" s="22"/>
      <c r="F26" s="14">
        <f t="shared" si="0"/>
        <v>46064</v>
      </c>
      <c r="G26" s="22"/>
      <c r="H26" s="14">
        <f t="shared" si="1"/>
        <v>46069</v>
      </c>
      <c r="I26" s="22"/>
      <c r="J26" s="14">
        <f t="shared" si="2"/>
        <v>46074</v>
      </c>
      <c r="K26" s="22"/>
      <c r="L26" s="14">
        <f t="shared" si="3"/>
        <v>46077</v>
      </c>
      <c r="M26" s="23"/>
    </row>
  </sheetData>
  <mergeCells count="19">
    <mergeCell ref="A9:C10"/>
    <mergeCell ref="A1:M5"/>
    <mergeCell ref="A7:B7"/>
    <mergeCell ref="C7:M7"/>
    <mergeCell ref="A8:B8"/>
    <mergeCell ref="C8:M8"/>
    <mergeCell ref="C6:D6"/>
    <mergeCell ref="G6:H6"/>
    <mergeCell ref="I6:M6"/>
    <mergeCell ref="D9:E9"/>
    <mergeCell ref="F9:G9"/>
    <mergeCell ref="H9:I9"/>
    <mergeCell ref="L9:M9"/>
    <mergeCell ref="L10:M10"/>
    <mergeCell ref="J10:K10"/>
    <mergeCell ref="J9:K9"/>
    <mergeCell ref="D10:E10"/>
    <mergeCell ref="F10:G10"/>
    <mergeCell ref="H10:I10"/>
  </mergeCells>
  <phoneticPr fontId="8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295BA-74E5-4942-B933-AE9E6FD6429C}">
  <dimension ref="A1:O26"/>
  <sheetViews>
    <sheetView workbookViewId="0">
      <selection activeCell="F10" sqref="F10:G10"/>
    </sheetView>
  </sheetViews>
  <sheetFormatPr baseColWidth="10" defaultColWidth="11.44140625" defaultRowHeight="10.199999999999999" x14ac:dyDescent="0.2"/>
  <cols>
    <col min="1" max="1" width="5" style="1" bestFit="1" customWidth="1"/>
    <col min="2" max="2" width="9.5546875" style="3" bestFit="1" customWidth="1"/>
    <col min="3" max="3" width="30.109375" style="3" bestFit="1" customWidth="1"/>
    <col min="4" max="4" width="8.5546875" style="1" customWidth="1"/>
    <col min="5" max="5" width="5.6640625" style="1" customWidth="1"/>
    <col min="6" max="6" width="8.5546875" style="1" customWidth="1"/>
    <col min="7" max="7" width="5.6640625" style="1" customWidth="1"/>
    <col min="8" max="8" width="8.5546875" style="1" customWidth="1"/>
    <col min="9" max="9" width="5.6640625" style="1" customWidth="1"/>
    <col min="10" max="10" width="8.5546875" style="1" customWidth="1"/>
    <col min="11" max="11" width="5.6640625" style="1" customWidth="1"/>
    <col min="12" max="12" width="8.5546875" style="1" customWidth="1"/>
    <col min="13" max="13" width="5.6640625" style="1" customWidth="1"/>
    <col min="14" max="16384" width="11.44140625" style="1"/>
  </cols>
  <sheetData>
    <row r="1" spans="1:15" x14ac:dyDescent="0.2">
      <c r="A1" s="76" t="s">
        <v>37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8"/>
    </row>
    <row r="2" spans="1:15" x14ac:dyDescent="0.2">
      <c r="A2" s="79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1:15" x14ac:dyDescent="0.2">
      <c r="A3" s="79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1"/>
    </row>
    <row r="4" spans="1:15" x14ac:dyDescent="0.2">
      <c r="A4" s="82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1"/>
    </row>
    <row r="5" spans="1:15" ht="10.8" thickBot="1" x14ac:dyDescent="0.25">
      <c r="A5" s="83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5" ht="15" thickBot="1" x14ac:dyDescent="0.35">
      <c r="A6" s="5" t="s">
        <v>0</v>
      </c>
      <c r="B6" s="6">
        <v>2993128</v>
      </c>
      <c r="C6" s="86" t="s">
        <v>9</v>
      </c>
      <c r="D6" s="86"/>
      <c r="E6" s="10" t="s">
        <v>1</v>
      </c>
      <c r="F6" s="11" t="s">
        <v>33</v>
      </c>
      <c r="G6" s="87" t="s">
        <v>10</v>
      </c>
      <c r="H6" s="87"/>
      <c r="I6" s="88" t="s">
        <v>32</v>
      </c>
      <c r="J6" s="88"/>
      <c r="K6" s="88"/>
      <c r="L6" s="88"/>
      <c r="M6" s="89"/>
      <c r="O6"/>
    </row>
    <row r="7" spans="1:15" ht="10.8" thickBot="1" x14ac:dyDescent="0.25">
      <c r="A7" s="90" t="s">
        <v>2</v>
      </c>
      <c r="B7" s="91"/>
      <c r="C7" s="92" t="s">
        <v>42</v>
      </c>
      <c r="D7" s="92"/>
      <c r="E7" s="92"/>
      <c r="F7" s="92"/>
      <c r="G7" s="92"/>
      <c r="H7" s="92"/>
      <c r="I7" s="92"/>
      <c r="J7" s="92"/>
      <c r="K7" s="92"/>
      <c r="L7" s="92"/>
      <c r="M7" s="93"/>
    </row>
    <row r="8" spans="1:15" ht="23.25" customHeight="1" thickBot="1" x14ac:dyDescent="0.25">
      <c r="A8" s="90" t="s">
        <v>35</v>
      </c>
      <c r="B8" s="98"/>
      <c r="C8" s="99" t="s">
        <v>44</v>
      </c>
      <c r="D8" s="91"/>
      <c r="E8" s="91"/>
      <c r="F8" s="91"/>
      <c r="G8" s="91"/>
      <c r="H8" s="91"/>
      <c r="I8" s="91"/>
      <c r="J8" s="91"/>
      <c r="K8" s="91"/>
      <c r="L8" s="91"/>
      <c r="M8" s="100"/>
    </row>
    <row r="9" spans="1:15" x14ac:dyDescent="0.2">
      <c r="A9" s="101" t="s">
        <v>3</v>
      </c>
      <c r="B9" s="102"/>
      <c r="C9" s="102"/>
      <c r="D9" s="105" t="s">
        <v>11</v>
      </c>
      <c r="E9" s="105"/>
      <c r="F9" s="105" t="s">
        <v>12</v>
      </c>
      <c r="G9" s="105"/>
      <c r="H9" s="105" t="s">
        <v>13</v>
      </c>
      <c r="I9" s="105"/>
      <c r="J9" s="105" t="s">
        <v>14</v>
      </c>
      <c r="K9" s="105"/>
      <c r="L9" s="105" t="s">
        <v>15</v>
      </c>
      <c r="M9" s="106"/>
    </row>
    <row r="10" spans="1:15" s="2" customFormat="1" ht="39" customHeight="1" thickBot="1" x14ac:dyDescent="0.25">
      <c r="A10" s="103"/>
      <c r="B10" s="104"/>
      <c r="C10" s="104"/>
      <c r="D10" s="94" t="s">
        <v>55</v>
      </c>
      <c r="E10" s="94"/>
      <c r="F10" s="94" t="s">
        <v>56</v>
      </c>
      <c r="G10" s="94"/>
      <c r="H10" s="94" t="s">
        <v>50</v>
      </c>
      <c r="I10" s="94"/>
      <c r="J10" s="95" t="s">
        <v>51</v>
      </c>
      <c r="K10" s="95"/>
      <c r="L10" s="96" t="s">
        <v>52</v>
      </c>
      <c r="M10" s="97"/>
    </row>
    <row r="11" spans="1:15" ht="15.75" customHeight="1" thickBot="1" x14ac:dyDescent="0.25">
      <c r="A11" s="7" t="s">
        <v>4</v>
      </c>
      <c r="B11" s="8" t="s">
        <v>5</v>
      </c>
      <c r="C11" s="47" t="s">
        <v>6</v>
      </c>
      <c r="D11" s="43" t="s">
        <v>7</v>
      </c>
      <c r="E11" s="36" t="s">
        <v>8</v>
      </c>
      <c r="F11" s="36" t="s">
        <v>7</v>
      </c>
      <c r="G11" s="36" t="s">
        <v>8</v>
      </c>
      <c r="H11" s="36" t="s">
        <v>7</v>
      </c>
      <c r="I11" s="36" t="s">
        <v>8</v>
      </c>
      <c r="J11" s="36" t="s">
        <v>7</v>
      </c>
      <c r="K11" s="36" t="s">
        <v>8</v>
      </c>
      <c r="L11" s="36" t="s">
        <v>7</v>
      </c>
      <c r="M11" s="37" t="s">
        <v>8</v>
      </c>
    </row>
    <row r="12" spans="1:15" x14ac:dyDescent="0.2">
      <c r="A12" s="44">
        <v>1</v>
      </c>
      <c r="B12" s="45">
        <v>1098805906</v>
      </c>
      <c r="C12" s="46" t="s">
        <v>17</v>
      </c>
      <c r="D12" s="38">
        <f>'2-DESARROLLAR SOLUCIÓN - RAP 3'!L12+1</f>
        <v>46078</v>
      </c>
      <c r="E12" s="39"/>
      <c r="F12" s="39">
        <f>D12+5</f>
        <v>46083</v>
      </c>
      <c r="G12" s="39"/>
      <c r="H12" s="39">
        <f>F12+3</f>
        <v>46086</v>
      </c>
      <c r="I12" s="39"/>
      <c r="J12" s="39">
        <f>H12+4</f>
        <v>46090</v>
      </c>
      <c r="K12" s="39"/>
      <c r="L12" s="39">
        <f>J12+5</f>
        <v>46095</v>
      </c>
      <c r="M12" s="40"/>
    </row>
    <row r="13" spans="1:15" x14ac:dyDescent="0.2">
      <c r="A13" s="4">
        <v>2</v>
      </c>
      <c r="B13" s="24">
        <v>1095838804</v>
      </c>
      <c r="C13" s="34" t="s">
        <v>18</v>
      </c>
      <c r="D13" s="41">
        <f>'2-DESARROLLAR SOLUCIÓN - RAP 3'!L13+1</f>
        <v>46078</v>
      </c>
      <c r="E13" s="14"/>
      <c r="F13" s="14">
        <f t="shared" ref="F13:F26" si="0">D13+5</f>
        <v>46083</v>
      </c>
      <c r="G13" s="14"/>
      <c r="H13" s="14">
        <f t="shared" ref="H13:H26" si="1">F13+3</f>
        <v>46086</v>
      </c>
      <c r="I13" s="14"/>
      <c r="J13" s="14">
        <f t="shared" ref="J13:J26" si="2">H13+4</f>
        <v>46090</v>
      </c>
      <c r="K13" s="14"/>
      <c r="L13" s="14">
        <f t="shared" ref="L13:L26" si="3">J13+5</f>
        <v>46095</v>
      </c>
      <c r="M13" s="18"/>
    </row>
    <row r="14" spans="1:15" x14ac:dyDescent="0.2">
      <c r="A14" s="4">
        <v>3</v>
      </c>
      <c r="B14" s="24">
        <v>1050547441</v>
      </c>
      <c r="C14" s="34" t="s">
        <v>19</v>
      </c>
      <c r="D14" s="41">
        <f>'2-DESARROLLAR SOLUCIÓN - RAP 3'!L14+1</f>
        <v>46078</v>
      </c>
      <c r="E14" s="14"/>
      <c r="F14" s="14">
        <f t="shared" si="0"/>
        <v>46083</v>
      </c>
      <c r="G14" s="14"/>
      <c r="H14" s="14">
        <f t="shared" si="1"/>
        <v>46086</v>
      </c>
      <c r="I14" s="14"/>
      <c r="J14" s="14">
        <f t="shared" si="2"/>
        <v>46090</v>
      </c>
      <c r="K14" s="14"/>
      <c r="L14" s="14">
        <f t="shared" si="3"/>
        <v>46095</v>
      </c>
      <c r="M14" s="18"/>
    </row>
    <row r="15" spans="1:15" x14ac:dyDescent="0.2">
      <c r="A15" s="4">
        <v>4</v>
      </c>
      <c r="B15" s="24">
        <v>1095814477</v>
      </c>
      <c r="C15" s="34" t="s">
        <v>20</v>
      </c>
      <c r="D15" s="41">
        <f>'2-DESARROLLAR SOLUCIÓN - RAP 3'!L15+1</f>
        <v>46078</v>
      </c>
      <c r="E15" s="14"/>
      <c r="F15" s="14">
        <f t="shared" si="0"/>
        <v>46083</v>
      </c>
      <c r="G15" s="14"/>
      <c r="H15" s="14">
        <f t="shared" si="1"/>
        <v>46086</v>
      </c>
      <c r="I15" s="14"/>
      <c r="J15" s="14">
        <f t="shared" si="2"/>
        <v>46090</v>
      </c>
      <c r="K15" s="14"/>
      <c r="L15" s="14">
        <f t="shared" si="3"/>
        <v>46095</v>
      </c>
      <c r="M15" s="18"/>
    </row>
    <row r="16" spans="1:15" x14ac:dyDescent="0.2">
      <c r="A16" s="4">
        <v>5</v>
      </c>
      <c r="B16" s="24">
        <v>1004912749</v>
      </c>
      <c r="C16" s="34" t="s">
        <v>21</v>
      </c>
      <c r="D16" s="41">
        <f>'2-DESARROLLAR SOLUCIÓN - RAP 3'!L16+1</f>
        <v>46078</v>
      </c>
      <c r="E16" s="14"/>
      <c r="F16" s="14">
        <f t="shared" si="0"/>
        <v>46083</v>
      </c>
      <c r="G16" s="14"/>
      <c r="H16" s="14">
        <f t="shared" si="1"/>
        <v>46086</v>
      </c>
      <c r="I16" s="14"/>
      <c r="J16" s="14">
        <f t="shared" si="2"/>
        <v>46090</v>
      </c>
      <c r="K16" s="14"/>
      <c r="L16" s="14">
        <f t="shared" si="3"/>
        <v>46095</v>
      </c>
      <c r="M16" s="18"/>
    </row>
    <row r="17" spans="1:14" x14ac:dyDescent="0.2">
      <c r="A17" s="4">
        <v>6</v>
      </c>
      <c r="B17" s="24">
        <v>1097496752</v>
      </c>
      <c r="C17" s="34" t="s">
        <v>22</v>
      </c>
      <c r="D17" s="41">
        <f>'2-DESARROLLAR SOLUCIÓN - RAP 3'!L17+1</f>
        <v>46078</v>
      </c>
      <c r="E17" s="14"/>
      <c r="F17" s="14">
        <f t="shared" si="0"/>
        <v>46083</v>
      </c>
      <c r="G17" s="14"/>
      <c r="H17" s="14">
        <f t="shared" si="1"/>
        <v>46086</v>
      </c>
      <c r="I17" s="14"/>
      <c r="J17" s="14">
        <f t="shared" si="2"/>
        <v>46090</v>
      </c>
      <c r="K17" s="14"/>
      <c r="L17" s="14">
        <f t="shared" si="3"/>
        <v>46095</v>
      </c>
      <c r="M17" s="18"/>
    </row>
    <row r="18" spans="1:14" x14ac:dyDescent="0.2">
      <c r="A18" s="4">
        <v>7</v>
      </c>
      <c r="B18" s="24">
        <v>1097912512</v>
      </c>
      <c r="C18" s="34" t="s">
        <v>23</v>
      </c>
      <c r="D18" s="41">
        <f>'2-DESARROLLAR SOLUCIÓN - RAP 3'!L18+1</f>
        <v>46078</v>
      </c>
      <c r="E18" s="14"/>
      <c r="F18" s="14">
        <f t="shared" si="0"/>
        <v>46083</v>
      </c>
      <c r="G18" s="14"/>
      <c r="H18" s="14">
        <f t="shared" si="1"/>
        <v>46086</v>
      </c>
      <c r="I18" s="14"/>
      <c r="J18" s="14">
        <f t="shared" si="2"/>
        <v>46090</v>
      </c>
      <c r="K18" s="14"/>
      <c r="L18" s="14">
        <f t="shared" si="3"/>
        <v>46095</v>
      </c>
      <c r="M18" s="18"/>
    </row>
    <row r="19" spans="1:14" x14ac:dyDescent="0.2">
      <c r="A19" s="4">
        <v>8</v>
      </c>
      <c r="B19" s="24">
        <v>1007669080</v>
      </c>
      <c r="C19" s="34" t="s">
        <v>24</v>
      </c>
      <c r="D19" s="41">
        <f>'2-DESARROLLAR SOLUCIÓN - RAP 3'!L19+1</f>
        <v>46078</v>
      </c>
      <c r="E19" s="14"/>
      <c r="F19" s="14">
        <f t="shared" si="0"/>
        <v>46083</v>
      </c>
      <c r="G19" s="14"/>
      <c r="H19" s="14">
        <f t="shared" si="1"/>
        <v>46086</v>
      </c>
      <c r="I19" s="14"/>
      <c r="J19" s="14">
        <f t="shared" si="2"/>
        <v>46090</v>
      </c>
      <c r="K19" s="14"/>
      <c r="L19" s="14">
        <f t="shared" si="3"/>
        <v>46095</v>
      </c>
      <c r="M19" s="18"/>
    </row>
    <row r="20" spans="1:14" x14ac:dyDescent="0.2">
      <c r="A20" s="4">
        <v>9</v>
      </c>
      <c r="B20" s="24">
        <v>1097782785</v>
      </c>
      <c r="C20" s="34" t="s">
        <v>25</v>
      </c>
      <c r="D20" s="41">
        <f>'2-DESARROLLAR SOLUCIÓN - RAP 3'!L20+1</f>
        <v>46078</v>
      </c>
      <c r="E20" s="14"/>
      <c r="F20" s="14">
        <f t="shared" si="0"/>
        <v>46083</v>
      </c>
      <c r="G20" s="14"/>
      <c r="H20" s="14">
        <f t="shared" si="1"/>
        <v>46086</v>
      </c>
      <c r="I20" s="14"/>
      <c r="J20" s="14">
        <f t="shared" si="2"/>
        <v>46090</v>
      </c>
      <c r="K20" s="14"/>
      <c r="L20" s="14">
        <f t="shared" si="3"/>
        <v>46095</v>
      </c>
      <c r="M20" s="18"/>
    </row>
    <row r="21" spans="1:14" x14ac:dyDescent="0.2">
      <c r="A21" s="4">
        <v>10</v>
      </c>
      <c r="B21" s="24">
        <v>1005150095</v>
      </c>
      <c r="C21" s="34" t="s">
        <v>26</v>
      </c>
      <c r="D21" s="41">
        <f>'2-DESARROLLAR SOLUCIÓN - RAP 3'!L21+1</f>
        <v>46078</v>
      </c>
      <c r="E21" s="14"/>
      <c r="F21" s="14">
        <f t="shared" si="0"/>
        <v>46083</v>
      </c>
      <c r="G21" s="14"/>
      <c r="H21" s="14">
        <f t="shared" si="1"/>
        <v>46086</v>
      </c>
      <c r="I21" s="14"/>
      <c r="J21" s="14">
        <f t="shared" si="2"/>
        <v>46090</v>
      </c>
      <c r="K21" s="14"/>
      <c r="L21" s="14">
        <f t="shared" si="3"/>
        <v>46095</v>
      </c>
      <c r="M21" s="18"/>
    </row>
    <row r="22" spans="1:14" x14ac:dyDescent="0.2">
      <c r="A22" s="4">
        <v>11</v>
      </c>
      <c r="B22" s="24">
        <v>1102356440</v>
      </c>
      <c r="C22" s="34" t="s">
        <v>27</v>
      </c>
      <c r="D22" s="41">
        <f>'2-DESARROLLAR SOLUCIÓN - RAP 3'!L22+1</f>
        <v>46078</v>
      </c>
      <c r="E22" s="14"/>
      <c r="F22" s="14">
        <f t="shared" si="0"/>
        <v>46083</v>
      </c>
      <c r="G22" s="14"/>
      <c r="H22" s="14">
        <f t="shared" si="1"/>
        <v>46086</v>
      </c>
      <c r="I22" s="14"/>
      <c r="J22" s="14">
        <f t="shared" si="2"/>
        <v>46090</v>
      </c>
      <c r="K22" s="14"/>
      <c r="L22" s="14">
        <f t="shared" si="3"/>
        <v>46095</v>
      </c>
      <c r="M22" s="18"/>
    </row>
    <row r="23" spans="1:14" x14ac:dyDescent="0.2">
      <c r="A23" s="4">
        <v>12</v>
      </c>
      <c r="B23" s="24">
        <v>1103672243</v>
      </c>
      <c r="C23" s="34" t="s">
        <v>28</v>
      </c>
      <c r="D23" s="41">
        <f>'2-DESARROLLAR SOLUCIÓN - RAP 3'!L23+1</f>
        <v>46078</v>
      </c>
      <c r="E23" s="14"/>
      <c r="F23" s="14">
        <f t="shared" si="0"/>
        <v>46083</v>
      </c>
      <c r="G23" s="14"/>
      <c r="H23" s="14">
        <f t="shared" si="1"/>
        <v>46086</v>
      </c>
      <c r="I23" s="14"/>
      <c r="J23" s="14">
        <f t="shared" si="2"/>
        <v>46090</v>
      </c>
      <c r="K23" s="14"/>
      <c r="L23" s="14">
        <f t="shared" si="3"/>
        <v>46095</v>
      </c>
      <c r="M23" s="18"/>
    </row>
    <row r="24" spans="1:14" x14ac:dyDescent="0.2">
      <c r="A24" s="4">
        <v>13</v>
      </c>
      <c r="B24" s="24">
        <v>1004945055</v>
      </c>
      <c r="C24" s="34" t="s">
        <v>29</v>
      </c>
      <c r="D24" s="41">
        <f>'2-DESARROLLAR SOLUCIÓN - RAP 3'!L24+1</f>
        <v>46078</v>
      </c>
      <c r="E24" s="14"/>
      <c r="F24" s="14">
        <f t="shared" si="0"/>
        <v>46083</v>
      </c>
      <c r="G24" s="14"/>
      <c r="H24" s="14">
        <f t="shared" si="1"/>
        <v>46086</v>
      </c>
      <c r="I24" s="14"/>
      <c r="J24" s="14">
        <f t="shared" si="2"/>
        <v>46090</v>
      </c>
      <c r="K24" s="14"/>
      <c r="L24" s="14">
        <f t="shared" si="3"/>
        <v>46095</v>
      </c>
      <c r="M24" s="18"/>
    </row>
    <row r="25" spans="1:14" x14ac:dyDescent="0.2">
      <c r="A25" s="4">
        <v>14</v>
      </c>
      <c r="B25" s="24">
        <v>1005373507</v>
      </c>
      <c r="C25" s="34" t="s">
        <v>30</v>
      </c>
      <c r="D25" s="41">
        <f>'2-DESARROLLAR SOLUCIÓN - RAP 3'!L25+1</f>
        <v>46078</v>
      </c>
      <c r="E25" s="14"/>
      <c r="F25" s="14">
        <f t="shared" si="0"/>
        <v>46083</v>
      </c>
      <c r="G25" s="14"/>
      <c r="H25" s="14">
        <f t="shared" si="1"/>
        <v>46086</v>
      </c>
      <c r="I25" s="14"/>
      <c r="J25" s="14">
        <f t="shared" si="2"/>
        <v>46090</v>
      </c>
      <c r="K25" s="14"/>
      <c r="L25" s="14">
        <f t="shared" si="3"/>
        <v>46095</v>
      </c>
      <c r="M25" s="18"/>
    </row>
    <row r="26" spans="1:14" s="9" customFormat="1" ht="10.8" thickBot="1" x14ac:dyDescent="0.25">
      <c r="A26" s="19">
        <v>15</v>
      </c>
      <c r="B26" s="25">
        <v>1099736902</v>
      </c>
      <c r="C26" s="35" t="s">
        <v>31</v>
      </c>
      <c r="D26" s="42">
        <f>'2-DESARROLLAR SOLUCIÓN - RAP 3'!L26+1</f>
        <v>46078</v>
      </c>
      <c r="E26" s="22"/>
      <c r="F26" s="22">
        <f t="shared" si="0"/>
        <v>46083</v>
      </c>
      <c r="G26" s="22"/>
      <c r="H26" s="22">
        <f t="shared" si="1"/>
        <v>46086</v>
      </c>
      <c r="I26" s="22"/>
      <c r="J26" s="22">
        <f t="shared" si="2"/>
        <v>46090</v>
      </c>
      <c r="K26" s="22"/>
      <c r="L26" s="22">
        <f t="shared" si="3"/>
        <v>46095</v>
      </c>
      <c r="M26" s="23"/>
      <c r="N26" s="15"/>
    </row>
  </sheetData>
  <mergeCells count="19">
    <mergeCell ref="H10:I10"/>
    <mergeCell ref="J10:K10"/>
    <mergeCell ref="L10:M10"/>
    <mergeCell ref="A8:B8"/>
    <mergeCell ref="C8:M8"/>
    <mergeCell ref="A9:C10"/>
    <mergeCell ref="D9:E9"/>
    <mergeCell ref="F9:G9"/>
    <mergeCell ref="H9:I9"/>
    <mergeCell ref="J9:K9"/>
    <mergeCell ref="L9:M9"/>
    <mergeCell ref="D10:E10"/>
    <mergeCell ref="F10:G10"/>
    <mergeCell ref="A1:M5"/>
    <mergeCell ref="C6:D6"/>
    <mergeCell ref="G6:H6"/>
    <mergeCell ref="I6:M6"/>
    <mergeCell ref="A7:B7"/>
    <mergeCell ref="C7:M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D3804-F513-458E-A539-4FB31A9438BD}">
  <dimension ref="A1:O26"/>
  <sheetViews>
    <sheetView topLeftCell="A3" workbookViewId="0">
      <selection activeCell="A11" sqref="A11:C11"/>
    </sheetView>
  </sheetViews>
  <sheetFormatPr baseColWidth="10" defaultColWidth="11.44140625" defaultRowHeight="10.199999999999999" x14ac:dyDescent="0.2"/>
  <cols>
    <col min="1" max="1" width="5" style="1" bestFit="1" customWidth="1"/>
    <col min="2" max="2" width="9.5546875" style="3" bestFit="1" customWidth="1"/>
    <col min="3" max="3" width="30.109375" style="3" bestFit="1" customWidth="1"/>
    <col min="4" max="4" width="8.5546875" style="1" customWidth="1"/>
    <col min="5" max="5" width="5.6640625" style="1" customWidth="1"/>
    <col min="6" max="6" width="8.5546875" style="1" customWidth="1"/>
    <col min="7" max="7" width="5.6640625" style="1" customWidth="1"/>
    <col min="8" max="8" width="8.5546875" style="1" customWidth="1"/>
    <col min="9" max="9" width="5.6640625" style="1" customWidth="1"/>
    <col min="10" max="10" width="8.5546875" style="1" customWidth="1"/>
    <col min="11" max="11" width="5.6640625" style="1" customWidth="1"/>
    <col min="12" max="12" width="8.5546875" style="1" customWidth="1"/>
    <col min="13" max="13" width="5.6640625" style="1" customWidth="1"/>
    <col min="14" max="16384" width="11.44140625" style="1"/>
  </cols>
  <sheetData>
    <row r="1" spans="1:15" x14ac:dyDescent="0.2">
      <c r="A1" s="76" t="s">
        <v>37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8"/>
    </row>
    <row r="2" spans="1:15" x14ac:dyDescent="0.2">
      <c r="A2" s="79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1:15" x14ac:dyDescent="0.2">
      <c r="A3" s="79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1"/>
    </row>
    <row r="4" spans="1:15" x14ac:dyDescent="0.2">
      <c r="A4" s="82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1"/>
    </row>
    <row r="5" spans="1:15" ht="10.8" thickBot="1" x14ac:dyDescent="0.25">
      <c r="A5" s="83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5" ht="15" thickBot="1" x14ac:dyDescent="0.35">
      <c r="A6" s="5" t="s">
        <v>0</v>
      </c>
      <c r="B6" s="6">
        <v>2993128</v>
      </c>
      <c r="C6" s="86" t="s">
        <v>9</v>
      </c>
      <c r="D6" s="86"/>
      <c r="E6" s="10" t="s">
        <v>1</v>
      </c>
      <c r="F6" s="11" t="s">
        <v>33</v>
      </c>
      <c r="G6" s="87" t="s">
        <v>10</v>
      </c>
      <c r="H6" s="87"/>
      <c r="I6" s="88" t="s">
        <v>32</v>
      </c>
      <c r="J6" s="88"/>
      <c r="K6" s="88"/>
      <c r="L6" s="88"/>
      <c r="M6" s="89"/>
      <c r="O6"/>
    </row>
    <row r="7" spans="1:15" ht="10.8" thickBot="1" x14ac:dyDescent="0.25">
      <c r="A7" s="90" t="s">
        <v>2</v>
      </c>
      <c r="B7" s="91"/>
      <c r="C7" s="92" t="s">
        <v>42</v>
      </c>
      <c r="D7" s="92"/>
      <c r="E7" s="92"/>
      <c r="F7" s="92"/>
      <c r="G7" s="92"/>
      <c r="H7" s="92"/>
      <c r="I7" s="92"/>
      <c r="J7" s="92"/>
      <c r="K7" s="92"/>
      <c r="L7" s="92"/>
      <c r="M7" s="93"/>
    </row>
    <row r="8" spans="1:15" ht="23.25" customHeight="1" thickBot="1" x14ac:dyDescent="0.25">
      <c r="A8" s="90" t="s">
        <v>35</v>
      </c>
      <c r="B8" s="98"/>
      <c r="C8" s="99" t="s">
        <v>45</v>
      </c>
      <c r="D8" s="91"/>
      <c r="E8" s="91"/>
      <c r="F8" s="91"/>
      <c r="G8" s="91"/>
      <c r="H8" s="91"/>
      <c r="I8" s="91"/>
      <c r="J8" s="91"/>
      <c r="K8" s="91"/>
      <c r="L8" s="91"/>
      <c r="M8" s="100"/>
    </row>
    <row r="9" spans="1:15" x14ac:dyDescent="0.2">
      <c r="A9" s="101" t="s">
        <v>3</v>
      </c>
      <c r="B9" s="102"/>
      <c r="C9" s="102"/>
      <c r="D9" s="105" t="s">
        <v>11</v>
      </c>
      <c r="E9" s="105"/>
      <c r="F9" s="105" t="s">
        <v>12</v>
      </c>
      <c r="G9" s="105"/>
      <c r="H9" s="105" t="s">
        <v>13</v>
      </c>
      <c r="I9" s="105"/>
      <c r="J9" s="105" t="s">
        <v>14</v>
      </c>
      <c r="K9" s="105"/>
      <c r="L9" s="105" t="s">
        <v>15</v>
      </c>
      <c r="M9" s="106"/>
    </row>
    <row r="10" spans="1:15" s="2" customFormat="1" ht="39" customHeight="1" thickBot="1" x14ac:dyDescent="0.25">
      <c r="A10" s="103"/>
      <c r="B10" s="104"/>
      <c r="C10" s="104"/>
      <c r="D10" s="94" t="s">
        <v>53</v>
      </c>
      <c r="E10" s="94"/>
      <c r="F10" s="94" t="s">
        <v>54</v>
      </c>
      <c r="G10" s="94"/>
      <c r="H10" s="94" t="s">
        <v>59</v>
      </c>
      <c r="I10" s="94"/>
      <c r="J10" s="95" t="s">
        <v>51</v>
      </c>
      <c r="K10" s="95"/>
      <c r="L10" s="96" t="s">
        <v>52</v>
      </c>
      <c r="M10" s="97"/>
    </row>
    <row r="11" spans="1:15" ht="15.75" customHeight="1" thickBot="1" x14ac:dyDescent="0.25">
      <c r="A11" s="7" t="s">
        <v>4</v>
      </c>
      <c r="B11" s="8" t="s">
        <v>5</v>
      </c>
      <c r="C11" s="47" t="s">
        <v>6</v>
      </c>
      <c r="D11" s="43" t="s">
        <v>7</v>
      </c>
      <c r="E11" s="36" t="s">
        <v>8</v>
      </c>
      <c r="F11" s="36" t="s">
        <v>7</v>
      </c>
      <c r="G11" s="36" t="s">
        <v>8</v>
      </c>
      <c r="H11" s="36" t="s">
        <v>7</v>
      </c>
      <c r="I11" s="36" t="s">
        <v>8</v>
      </c>
      <c r="J11" s="36" t="s">
        <v>7</v>
      </c>
      <c r="K11" s="36" t="s">
        <v>8</v>
      </c>
      <c r="L11" s="36" t="s">
        <v>7</v>
      </c>
      <c r="M11" s="37" t="s">
        <v>8</v>
      </c>
    </row>
    <row r="12" spans="1:15" x14ac:dyDescent="0.2">
      <c r="A12" s="44">
        <v>1</v>
      </c>
      <c r="B12" s="45">
        <v>1098805906</v>
      </c>
      <c r="C12" s="46" t="s">
        <v>17</v>
      </c>
      <c r="D12" s="38">
        <f>'3-IMPLEMENTACIÓN - RAP 2'!L12+2</f>
        <v>46097</v>
      </c>
      <c r="E12" s="39"/>
      <c r="F12" s="39">
        <f>D12+4</f>
        <v>46101</v>
      </c>
      <c r="G12" s="39"/>
      <c r="H12" s="39">
        <f>F12+5</f>
        <v>46106</v>
      </c>
      <c r="I12" s="39"/>
      <c r="J12" s="39">
        <f>H12+2</f>
        <v>46108</v>
      </c>
      <c r="K12" s="39"/>
      <c r="L12" s="39">
        <f>J12+1</f>
        <v>46109</v>
      </c>
      <c r="M12" s="40"/>
    </row>
    <row r="13" spans="1:15" x14ac:dyDescent="0.2">
      <c r="A13" s="4">
        <v>2</v>
      </c>
      <c r="B13" s="24">
        <v>1095838804</v>
      </c>
      <c r="C13" s="34" t="s">
        <v>18</v>
      </c>
      <c r="D13" s="41">
        <f>'3-IMPLEMENTACIÓN - RAP 2'!L13+2</f>
        <v>46097</v>
      </c>
      <c r="E13" s="14"/>
      <c r="F13" s="14">
        <f t="shared" ref="F13:F26" si="0">D13+4</f>
        <v>46101</v>
      </c>
      <c r="G13" s="14"/>
      <c r="H13" s="14">
        <f t="shared" ref="H13:H26" si="1">F13+5</f>
        <v>46106</v>
      </c>
      <c r="I13" s="14"/>
      <c r="J13" s="14">
        <f t="shared" ref="J13:J26" si="2">H13+2</f>
        <v>46108</v>
      </c>
      <c r="K13" s="14"/>
      <c r="L13" s="14">
        <f t="shared" ref="L13:L26" si="3">J13+1</f>
        <v>46109</v>
      </c>
      <c r="M13" s="18"/>
    </row>
    <row r="14" spans="1:15" x14ac:dyDescent="0.2">
      <c r="A14" s="4">
        <v>3</v>
      </c>
      <c r="B14" s="24">
        <v>1050547441</v>
      </c>
      <c r="C14" s="34" t="s">
        <v>19</v>
      </c>
      <c r="D14" s="41">
        <f>'3-IMPLEMENTACIÓN - RAP 2'!L14+2</f>
        <v>46097</v>
      </c>
      <c r="E14" s="14"/>
      <c r="F14" s="14">
        <f t="shared" si="0"/>
        <v>46101</v>
      </c>
      <c r="G14" s="14"/>
      <c r="H14" s="14">
        <f t="shared" si="1"/>
        <v>46106</v>
      </c>
      <c r="I14" s="14"/>
      <c r="J14" s="14">
        <f t="shared" si="2"/>
        <v>46108</v>
      </c>
      <c r="K14" s="14"/>
      <c r="L14" s="14">
        <f t="shared" si="3"/>
        <v>46109</v>
      </c>
      <c r="M14" s="18"/>
    </row>
    <row r="15" spans="1:15" x14ac:dyDescent="0.2">
      <c r="A15" s="4">
        <v>4</v>
      </c>
      <c r="B15" s="24">
        <v>1095814477</v>
      </c>
      <c r="C15" s="34" t="s">
        <v>20</v>
      </c>
      <c r="D15" s="41">
        <f>'3-IMPLEMENTACIÓN - RAP 2'!L15+2</f>
        <v>46097</v>
      </c>
      <c r="E15" s="14"/>
      <c r="F15" s="14">
        <f t="shared" si="0"/>
        <v>46101</v>
      </c>
      <c r="G15" s="14"/>
      <c r="H15" s="14">
        <f t="shared" si="1"/>
        <v>46106</v>
      </c>
      <c r="I15" s="14"/>
      <c r="J15" s="14">
        <f t="shared" si="2"/>
        <v>46108</v>
      </c>
      <c r="K15" s="14"/>
      <c r="L15" s="14">
        <f t="shared" si="3"/>
        <v>46109</v>
      </c>
      <c r="M15" s="18"/>
    </row>
    <row r="16" spans="1:15" x14ac:dyDescent="0.2">
      <c r="A16" s="4">
        <v>5</v>
      </c>
      <c r="B16" s="24">
        <v>1004912749</v>
      </c>
      <c r="C16" s="34" t="s">
        <v>21</v>
      </c>
      <c r="D16" s="41">
        <f>'3-IMPLEMENTACIÓN - RAP 2'!L16+2</f>
        <v>46097</v>
      </c>
      <c r="E16" s="14"/>
      <c r="F16" s="14">
        <f t="shared" si="0"/>
        <v>46101</v>
      </c>
      <c r="G16" s="14"/>
      <c r="H16" s="14">
        <f t="shared" si="1"/>
        <v>46106</v>
      </c>
      <c r="I16" s="14"/>
      <c r="J16" s="14">
        <f t="shared" si="2"/>
        <v>46108</v>
      </c>
      <c r="K16" s="14"/>
      <c r="L16" s="14">
        <f t="shared" si="3"/>
        <v>46109</v>
      </c>
      <c r="M16" s="18"/>
    </row>
    <row r="17" spans="1:14" x14ac:dyDescent="0.2">
      <c r="A17" s="4">
        <v>6</v>
      </c>
      <c r="B17" s="24">
        <v>1097496752</v>
      </c>
      <c r="C17" s="34" t="s">
        <v>22</v>
      </c>
      <c r="D17" s="41">
        <f>'3-IMPLEMENTACIÓN - RAP 2'!L17+2</f>
        <v>46097</v>
      </c>
      <c r="E17" s="14"/>
      <c r="F17" s="14">
        <f t="shared" si="0"/>
        <v>46101</v>
      </c>
      <c r="G17" s="14"/>
      <c r="H17" s="14">
        <f t="shared" si="1"/>
        <v>46106</v>
      </c>
      <c r="I17" s="14"/>
      <c r="J17" s="14">
        <f t="shared" si="2"/>
        <v>46108</v>
      </c>
      <c r="K17" s="14"/>
      <c r="L17" s="14">
        <f t="shared" si="3"/>
        <v>46109</v>
      </c>
      <c r="M17" s="18"/>
    </row>
    <row r="18" spans="1:14" x14ac:dyDescent="0.2">
      <c r="A18" s="4">
        <v>7</v>
      </c>
      <c r="B18" s="24">
        <v>1097912512</v>
      </c>
      <c r="C18" s="34" t="s">
        <v>23</v>
      </c>
      <c r="D18" s="41">
        <f>'3-IMPLEMENTACIÓN - RAP 2'!L18+2</f>
        <v>46097</v>
      </c>
      <c r="E18" s="14"/>
      <c r="F18" s="14">
        <f t="shared" si="0"/>
        <v>46101</v>
      </c>
      <c r="G18" s="14"/>
      <c r="H18" s="14">
        <f t="shared" si="1"/>
        <v>46106</v>
      </c>
      <c r="I18" s="14"/>
      <c r="J18" s="14">
        <f t="shared" si="2"/>
        <v>46108</v>
      </c>
      <c r="K18" s="14"/>
      <c r="L18" s="14">
        <f t="shared" si="3"/>
        <v>46109</v>
      </c>
      <c r="M18" s="18"/>
    </row>
    <row r="19" spans="1:14" x14ac:dyDescent="0.2">
      <c r="A19" s="4">
        <v>8</v>
      </c>
      <c r="B19" s="24">
        <v>1007669080</v>
      </c>
      <c r="C19" s="34" t="s">
        <v>24</v>
      </c>
      <c r="D19" s="41">
        <f>'3-IMPLEMENTACIÓN - RAP 2'!L19+2</f>
        <v>46097</v>
      </c>
      <c r="E19" s="14"/>
      <c r="F19" s="14">
        <f t="shared" si="0"/>
        <v>46101</v>
      </c>
      <c r="G19" s="14"/>
      <c r="H19" s="14">
        <f t="shared" si="1"/>
        <v>46106</v>
      </c>
      <c r="I19" s="14"/>
      <c r="J19" s="14">
        <f t="shared" si="2"/>
        <v>46108</v>
      </c>
      <c r="K19" s="14"/>
      <c r="L19" s="14">
        <f t="shared" si="3"/>
        <v>46109</v>
      </c>
      <c r="M19" s="18"/>
    </row>
    <row r="20" spans="1:14" x14ac:dyDescent="0.2">
      <c r="A20" s="4">
        <v>9</v>
      </c>
      <c r="B20" s="24">
        <v>1097782785</v>
      </c>
      <c r="C20" s="34" t="s">
        <v>25</v>
      </c>
      <c r="D20" s="41">
        <f>'3-IMPLEMENTACIÓN - RAP 2'!L20+2</f>
        <v>46097</v>
      </c>
      <c r="E20" s="14"/>
      <c r="F20" s="14">
        <f t="shared" si="0"/>
        <v>46101</v>
      </c>
      <c r="G20" s="14"/>
      <c r="H20" s="14">
        <f t="shared" si="1"/>
        <v>46106</v>
      </c>
      <c r="I20" s="14"/>
      <c r="J20" s="14">
        <f t="shared" si="2"/>
        <v>46108</v>
      </c>
      <c r="K20" s="14"/>
      <c r="L20" s="14">
        <f t="shared" si="3"/>
        <v>46109</v>
      </c>
      <c r="M20" s="18"/>
    </row>
    <row r="21" spans="1:14" x14ac:dyDescent="0.2">
      <c r="A21" s="4">
        <v>10</v>
      </c>
      <c r="B21" s="24">
        <v>1005150095</v>
      </c>
      <c r="C21" s="34" t="s">
        <v>26</v>
      </c>
      <c r="D21" s="41">
        <f>'3-IMPLEMENTACIÓN - RAP 2'!L21+2</f>
        <v>46097</v>
      </c>
      <c r="E21" s="14"/>
      <c r="F21" s="14">
        <f t="shared" si="0"/>
        <v>46101</v>
      </c>
      <c r="G21" s="14"/>
      <c r="H21" s="14">
        <f t="shared" si="1"/>
        <v>46106</v>
      </c>
      <c r="I21" s="14"/>
      <c r="J21" s="14">
        <f t="shared" si="2"/>
        <v>46108</v>
      </c>
      <c r="K21" s="14"/>
      <c r="L21" s="14">
        <f t="shared" si="3"/>
        <v>46109</v>
      </c>
      <c r="M21" s="18"/>
    </row>
    <row r="22" spans="1:14" x14ac:dyDescent="0.2">
      <c r="A22" s="4">
        <v>11</v>
      </c>
      <c r="B22" s="24">
        <v>1102356440</v>
      </c>
      <c r="C22" s="34" t="s">
        <v>27</v>
      </c>
      <c r="D22" s="41">
        <f>'3-IMPLEMENTACIÓN - RAP 2'!L22+2</f>
        <v>46097</v>
      </c>
      <c r="E22" s="14"/>
      <c r="F22" s="14">
        <f t="shared" si="0"/>
        <v>46101</v>
      </c>
      <c r="G22" s="14"/>
      <c r="H22" s="14">
        <f t="shared" si="1"/>
        <v>46106</v>
      </c>
      <c r="I22" s="14"/>
      <c r="J22" s="14">
        <f t="shared" si="2"/>
        <v>46108</v>
      </c>
      <c r="K22" s="14"/>
      <c r="L22" s="14">
        <f t="shared" si="3"/>
        <v>46109</v>
      </c>
      <c r="M22" s="18"/>
    </row>
    <row r="23" spans="1:14" x14ac:dyDescent="0.2">
      <c r="A23" s="4">
        <v>12</v>
      </c>
      <c r="B23" s="24">
        <v>1103672243</v>
      </c>
      <c r="C23" s="34" t="s">
        <v>28</v>
      </c>
      <c r="D23" s="41">
        <f>'3-IMPLEMENTACIÓN - RAP 2'!L23+2</f>
        <v>46097</v>
      </c>
      <c r="E23" s="14"/>
      <c r="F23" s="14">
        <f t="shared" si="0"/>
        <v>46101</v>
      </c>
      <c r="G23" s="14"/>
      <c r="H23" s="14">
        <f t="shared" si="1"/>
        <v>46106</v>
      </c>
      <c r="I23" s="14"/>
      <c r="J23" s="14">
        <f t="shared" si="2"/>
        <v>46108</v>
      </c>
      <c r="K23" s="14"/>
      <c r="L23" s="14">
        <f t="shared" si="3"/>
        <v>46109</v>
      </c>
      <c r="M23" s="18"/>
    </row>
    <row r="24" spans="1:14" x14ac:dyDescent="0.2">
      <c r="A24" s="4">
        <v>13</v>
      </c>
      <c r="B24" s="24">
        <v>1004945055</v>
      </c>
      <c r="C24" s="34" t="s">
        <v>29</v>
      </c>
      <c r="D24" s="41">
        <f>'3-IMPLEMENTACIÓN - RAP 2'!L24+2</f>
        <v>46097</v>
      </c>
      <c r="E24" s="14"/>
      <c r="F24" s="14">
        <f t="shared" si="0"/>
        <v>46101</v>
      </c>
      <c r="G24" s="14"/>
      <c r="H24" s="14">
        <f t="shared" si="1"/>
        <v>46106</v>
      </c>
      <c r="I24" s="14"/>
      <c r="J24" s="14">
        <f t="shared" si="2"/>
        <v>46108</v>
      </c>
      <c r="K24" s="14"/>
      <c r="L24" s="14">
        <f t="shared" si="3"/>
        <v>46109</v>
      </c>
      <c r="M24" s="18"/>
    </row>
    <row r="25" spans="1:14" x14ac:dyDescent="0.2">
      <c r="A25" s="4">
        <v>14</v>
      </c>
      <c r="B25" s="24">
        <v>1005373507</v>
      </c>
      <c r="C25" s="34" t="s">
        <v>30</v>
      </c>
      <c r="D25" s="41">
        <f>'3-IMPLEMENTACIÓN - RAP 2'!L25+2</f>
        <v>46097</v>
      </c>
      <c r="E25" s="14"/>
      <c r="F25" s="14">
        <f t="shared" si="0"/>
        <v>46101</v>
      </c>
      <c r="G25" s="14"/>
      <c r="H25" s="14">
        <f t="shared" si="1"/>
        <v>46106</v>
      </c>
      <c r="I25" s="14"/>
      <c r="J25" s="14">
        <f t="shared" si="2"/>
        <v>46108</v>
      </c>
      <c r="K25" s="14"/>
      <c r="L25" s="14">
        <f t="shared" si="3"/>
        <v>46109</v>
      </c>
      <c r="M25" s="18"/>
    </row>
    <row r="26" spans="1:14" s="9" customFormat="1" ht="10.8" thickBot="1" x14ac:dyDescent="0.25">
      <c r="A26" s="19">
        <v>15</v>
      </c>
      <c r="B26" s="25">
        <v>1099736902</v>
      </c>
      <c r="C26" s="35" t="s">
        <v>31</v>
      </c>
      <c r="D26" s="42">
        <f>'3-IMPLEMENTACIÓN - RAP 2'!L26+2</f>
        <v>46097</v>
      </c>
      <c r="E26" s="22"/>
      <c r="F26" s="22">
        <f t="shared" si="0"/>
        <v>46101</v>
      </c>
      <c r="G26" s="22"/>
      <c r="H26" s="22">
        <f t="shared" si="1"/>
        <v>46106</v>
      </c>
      <c r="I26" s="22"/>
      <c r="J26" s="22">
        <f t="shared" si="2"/>
        <v>46108</v>
      </c>
      <c r="K26" s="22"/>
      <c r="L26" s="22">
        <f t="shared" si="3"/>
        <v>46109</v>
      </c>
      <c r="M26" s="23"/>
      <c r="N26" s="15"/>
    </row>
  </sheetData>
  <mergeCells count="19">
    <mergeCell ref="H10:I10"/>
    <mergeCell ref="J10:K10"/>
    <mergeCell ref="L10:M10"/>
    <mergeCell ref="A8:B8"/>
    <mergeCell ref="C8:M8"/>
    <mergeCell ref="A9:C10"/>
    <mergeCell ref="D9:E9"/>
    <mergeCell ref="F9:G9"/>
    <mergeCell ref="H9:I9"/>
    <mergeCell ref="J9:K9"/>
    <mergeCell ref="L9:M9"/>
    <mergeCell ref="D10:E10"/>
    <mergeCell ref="F10:G10"/>
    <mergeCell ref="A1:M5"/>
    <mergeCell ref="C6:D6"/>
    <mergeCell ref="G6:H6"/>
    <mergeCell ref="I6:M6"/>
    <mergeCell ref="A7:B7"/>
    <mergeCell ref="C7:M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884B-DC94-4FD4-B149-7F3A8FEEFC5A}">
  <dimension ref="A1:O26"/>
  <sheetViews>
    <sheetView topLeftCell="A10" zoomScale="120" zoomScaleNormal="120" workbookViewId="0">
      <selection activeCell="Q5" sqref="Q5"/>
    </sheetView>
  </sheetViews>
  <sheetFormatPr baseColWidth="10" defaultColWidth="11.44140625" defaultRowHeight="10.199999999999999" x14ac:dyDescent="0.2"/>
  <cols>
    <col min="1" max="1" width="5" style="1" bestFit="1" customWidth="1"/>
    <col min="2" max="2" width="9.5546875" style="3" bestFit="1" customWidth="1"/>
    <col min="3" max="3" width="30.109375" style="3" bestFit="1" customWidth="1"/>
    <col min="4" max="4" width="8.5546875" style="1" customWidth="1"/>
    <col min="5" max="5" width="5.6640625" style="1" customWidth="1"/>
    <col min="6" max="6" width="8.5546875" style="1" customWidth="1"/>
    <col min="7" max="7" width="5.6640625" style="1" customWidth="1"/>
    <col min="8" max="8" width="8.5546875" style="1" customWidth="1"/>
    <col min="9" max="9" width="5.6640625" style="1" customWidth="1"/>
    <col min="10" max="10" width="8.5546875" style="1" customWidth="1"/>
    <col min="11" max="11" width="5.6640625" style="1" customWidth="1"/>
    <col min="12" max="12" width="8.5546875" style="1" customWidth="1"/>
    <col min="13" max="13" width="5.6640625" style="1" customWidth="1"/>
    <col min="14" max="16384" width="11.44140625" style="1"/>
  </cols>
  <sheetData>
    <row r="1" spans="1:15" x14ac:dyDescent="0.2">
      <c r="A1" s="76" t="s">
        <v>37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8"/>
    </row>
    <row r="2" spans="1:15" x14ac:dyDescent="0.2">
      <c r="A2" s="79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1:15" x14ac:dyDescent="0.2">
      <c r="A3" s="79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1"/>
    </row>
    <row r="4" spans="1:15" x14ac:dyDescent="0.2">
      <c r="A4" s="82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1"/>
    </row>
    <row r="5" spans="1:15" ht="10.8" thickBot="1" x14ac:dyDescent="0.25">
      <c r="A5" s="83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5" ht="15" thickBot="1" x14ac:dyDescent="0.35">
      <c r="A6" s="5" t="s">
        <v>0</v>
      </c>
      <c r="B6" s="6">
        <v>2993128</v>
      </c>
      <c r="C6" s="86" t="s">
        <v>9</v>
      </c>
      <c r="D6" s="86"/>
      <c r="E6" s="10" t="s">
        <v>1</v>
      </c>
      <c r="F6" s="11" t="s">
        <v>33</v>
      </c>
      <c r="G6" s="87" t="s">
        <v>10</v>
      </c>
      <c r="H6" s="87"/>
      <c r="I6" s="88" t="s">
        <v>32</v>
      </c>
      <c r="J6" s="88"/>
      <c r="K6" s="88"/>
      <c r="L6" s="88"/>
      <c r="M6" s="89"/>
      <c r="O6"/>
    </row>
    <row r="7" spans="1:15" ht="10.8" thickBot="1" x14ac:dyDescent="0.25">
      <c r="A7" s="90" t="s">
        <v>2</v>
      </c>
      <c r="B7" s="91"/>
      <c r="C7" s="92" t="s">
        <v>42</v>
      </c>
      <c r="D7" s="92"/>
      <c r="E7" s="92"/>
      <c r="F7" s="92"/>
      <c r="G7" s="92"/>
      <c r="H7" s="92"/>
      <c r="I7" s="92"/>
      <c r="J7" s="92"/>
      <c r="K7" s="92"/>
      <c r="L7" s="92"/>
      <c r="M7" s="93"/>
    </row>
    <row r="8" spans="1:15" ht="23.25" customHeight="1" thickBot="1" x14ac:dyDescent="0.25">
      <c r="A8" s="90" t="s">
        <v>35</v>
      </c>
      <c r="B8" s="98"/>
      <c r="C8" s="99" t="s">
        <v>46</v>
      </c>
      <c r="D8" s="91"/>
      <c r="E8" s="91"/>
      <c r="F8" s="91"/>
      <c r="G8" s="91"/>
      <c r="H8" s="91"/>
      <c r="I8" s="91"/>
      <c r="J8" s="91"/>
      <c r="K8" s="91"/>
      <c r="L8" s="91"/>
      <c r="M8" s="100"/>
    </row>
    <row r="9" spans="1:15" x14ac:dyDescent="0.2">
      <c r="A9" s="101" t="s">
        <v>3</v>
      </c>
      <c r="B9" s="102"/>
      <c r="C9" s="102"/>
      <c r="D9" s="105" t="s">
        <v>11</v>
      </c>
      <c r="E9" s="105"/>
      <c r="F9" s="105" t="s">
        <v>12</v>
      </c>
      <c r="G9" s="105"/>
      <c r="H9" s="105" t="s">
        <v>13</v>
      </c>
      <c r="I9" s="105"/>
      <c r="J9" s="105" t="s">
        <v>14</v>
      </c>
      <c r="K9" s="105"/>
      <c r="L9" s="105" t="s">
        <v>15</v>
      </c>
      <c r="M9" s="106"/>
    </row>
    <row r="10" spans="1:15" s="2" customFormat="1" ht="39" customHeight="1" thickBot="1" x14ac:dyDescent="0.25">
      <c r="A10" s="103"/>
      <c r="B10" s="104"/>
      <c r="C10" s="104"/>
      <c r="D10" s="94" t="s">
        <v>47</v>
      </c>
      <c r="E10" s="94"/>
      <c r="F10" s="94" t="s">
        <v>49</v>
      </c>
      <c r="G10" s="94"/>
      <c r="H10" s="94" t="s">
        <v>50</v>
      </c>
      <c r="I10" s="94"/>
      <c r="J10" s="95" t="s">
        <v>51</v>
      </c>
      <c r="K10" s="95"/>
      <c r="L10" s="96" t="s">
        <v>97</v>
      </c>
      <c r="M10" s="97"/>
    </row>
    <row r="11" spans="1:15" ht="15.75" customHeight="1" thickBot="1" x14ac:dyDescent="0.25">
      <c r="A11" s="50" t="s">
        <v>4</v>
      </c>
      <c r="B11" s="51" t="s">
        <v>5</v>
      </c>
      <c r="C11" s="52" t="s">
        <v>6</v>
      </c>
      <c r="D11" s="36" t="s">
        <v>7</v>
      </c>
      <c r="E11" s="36" t="s">
        <v>8</v>
      </c>
      <c r="F11" s="36" t="s">
        <v>7</v>
      </c>
      <c r="G11" s="36" t="s">
        <v>8</v>
      </c>
      <c r="H11" s="36" t="s">
        <v>7</v>
      </c>
      <c r="I11" s="36" t="s">
        <v>8</v>
      </c>
      <c r="J11" s="36" t="s">
        <v>7</v>
      </c>
      <c r="K11" s="36" t="s">
        <v>8</v>
      </c>
      <c r="L11" s="36" t="s">
        <v>7</v>
      </c>
      <c r="M11" s="37" t="s">
        <v>8</v>
      </c>
    </row>
    <row r="12" spans="1:15" x14ac:dyDescent="0.2">
      <c r="A12" s="53">
        <v>1</v>
      </c>
      <c r="B12" s="54">
        <v>1098805906</v>
      </c>
      <c r="C12" s="55" t="s">
        <v>17</v>
      </c>
      <c r="D12" s="56">
        <f>'4-IMPLEMENTACIÓN - RAP 3'!L12+3</f>
        <v>46112</v>
      </c>
      <c r="E12" s="39"/>
      <c r="F12" s="39">
        <f>D12+2</f>
        <v>46114</v>
      </c>
      <c r="G12" s="39"/>
      <c r="H12" s="39">
        <f>F12+2</f>
        <v>46116</v>
      </c>
      <c r="I12" s="39"/>
      <c r="J12" s="39">
        <f>H12+2</f>
        <v>46118</v>
      </c>
      <c r="K12" s="39"/>
      <c r="L12" s="39">
        <f>J12+2</f>
        <v>46120</v>
      </c>
      <c r="M12" s="40"/>
    </row>
    <row r="13" spans="1:15" x14ac:dyDescent="0.2">
      <c r="A13" s="4">
        <v>2</v>
      </c>
      <c r="B13" s="24">
        <v>1095838804</v>
      </c>
      <c r="C13" s="12" t="s">
        <v>18</v>
      </c>
      <c r="D13" s="13">
        <f>'4-IMPLEMENTACIÓN - RAP 3'!L13+3</f>
        <v>46112</v>
      </c>
      <c r="E13" s="14"/>
      <c r="F13" s="14">
        <f t="shared" ref="F13:F26" si="0">D13+2</f>
        <v>46114</v>
      </c>
      <c r="G13" s="14"/>
      <c r="H13" s="14">
        <f t="shared" ref="H13:H26" si="1">F13+2</f>
        <v>46116</v>
      </c>
      <c r="I13" s="14"/>
      <c r="J13" s="14">
        <f t="shared" ref="J13:J26" si="2">H13+2</f>
        <v>46118</v>
      </c>
      <c r="K13" s="14"/>
      <c r="L13" s="14">
        <f t="shared" ref="L13:L26" si="3">J13+2</f>
        <v>46120</v>
      </c>
      <c r="M13" s="18"/>
    </row>
    <row r="14" spans="1:15" x14ac:dyDescent="0.2">
      <c r="A14" s="4">
        <v>3</v>
      </c>
      <c r="B14" s="24">
        <v>1050547441</v>
      </c>
      <c r="C14" s="12" t="s">
        <v>19</v>
      </c>
      <c r="D14" s="13">
        <f>'4-IMPLEMENTACIÓN - RAP 3'!L14+3</f>
        <v>46112</v>
      </c>
      <c r="E14" s="14"/>
      <c r="F14" s="14">
        <f t="shared" si="0"/>
        <v>46114</v>
      </c>
      <c r="G14" s="14"/>
      <c r="H14" s="14">
        <f t="shared" si="1"/>
        <v>46116</v>
      </c>
      <c r="I14" s="14"/>
      <c r="J14" s="14">
        <f t="shared" si="2"/>
        <v>46118</v>
      </c>
      <c r="K14" s="14"/>
      <c r="L14" s="14">
        <f t="shared" si="3"/>
        <v>46120</v>
      </c>
      <c r="M14" s="18"/>
    </row>
    <row r="15" spans="1:15" x14ac:dyDescent="0.2">
      <c r="A15" s="4">
        <v>4</v>
      </c>
      <c r="B15" s="24">
        <v>1095814477</v>
      </c>
      <c r="C15" s="12" t="s">
        <v>20</v>
      </c>
      <c r="D15" s="13">
        <f>'4-IMPLEMENTACIÓN - RAP 3'!L15+3</f>
        <v>46112</v>
      </c>
      <c r="E15" s="14"/>
      <c r="F15" s="14">
        <f t="shared" si="0"/>
        <v>46114</v>
      </c>
      <c r="G15" s="14"/>
      <c r="H15" s="14">
        <f t="shared" si="1"/>
        <v>46116</v>
      </c>
      <c r="I15" s="14"/>
      <c r="J15" s="14">
        <f t="shared" si="2"/>
        <v>46118</v>
      </c>
      <c r="K15" s="14"/>
      <c r="L15" s="14">
        <f t="shared" si="3"/>
        <v>46120</v>
      </c>
      <c r="M15" s="18"/>
    </row>
    <row r="16" spans="1:15" x14ac:dyDescent="0.2">
      <c r="A16" s="4">
        <v>5</v>
      </c>
      <c r="B16" s="24">
        <v>1004912749</v>
      </c>
      <c r="C16" s="12" t="s">
        <v>21</v>
      </c>
      <c r="D16" s="13">
        <f>'4-IMPLEMENTACIÓN - RAP 3'!L16+3</f>
        <v>46112</v>
      </c>
      <c r="E16" s="14"/>
      <c r="F16" s="14">
        <f t="shared" si="0"/>
        <v>46114</v>
      </c>
      <c r="G16" s="14"/>
      <c r="H16" s="14">
        <f t="shared" si="1"/>
        <v>46116</v>
      </c>
      <c r="I16" s="14"/>
      <c r="J16" s="14">
        <f t="shared" si="2"/>
        <v>46118</v>
      </c>
      <c r="K16" s="14"/>
      <c r="L16" s="14">
        <f t="shared" si="3"/>
        <v>46120</v>
      </c>
      <c r="M16" s="18"/>
    </row>
    <row r="17" spans="1:14" x14ac:dyDescent="0.2">
      <c r="A17" s="4">
        <v>6</v>
      </c>
      <c r="B17" s="24">
        <v>1097496752</v>
      </c>
      <c r="C17" s="12" t="s">
        <v>22</v>
      </c>
      <c r="D17" s="13">
        <f>'4-IMPLEMENTACIÓN - RAP 3'!L17+3</f>
        <v>46112</v>
      </c>
      <c r="E17" s="14"/>
      <c r="F17" s="14">
        <f t="shared" si="0"/>
        <v>46114</v>
      </c>
      <c r="G17" s="14"/>
      <c r="H17" s="14">
        <f t="shared" si="1"/>
        <v>46116</v>
      </c>
      <c r="I17" s="14"/>
      <c r="J17" s="14">
        <f t="shared" si="2"/>
        <v>46118</v>
      </c>
      <c r="K17" s="14"/>
      <c r="L17" s="14">
        <f t="shared" si="3"/>
        <v>46120</v>
      </c>
      <c r="M17" s="18"/>
    </row>
    <row r="18" spans="1:14" x14ac:dyDescent="0.2">
      <c r="A18" s="4">
        <v>7</v>
      </c>
      <c r="B18" s="24">
        <v>1097912512</v>
      </c>
      <c r="C18" s="12" t="s">
        <v>23</v>
      </c>
      <c r="D18" s="13">
        <f>'4-IMPLEMENTACIÓN - RAP 3'!L18+3</f>
        <v>46112</v>
      </c>
      <c r="E18" s="14"/>
      <c r="F18" s="14">
        <f t="shared" si="0"/>
        <v>46114</v>
      </c>
      <c r="G18" s="14"/>
      <c r="H18" s="14">
        <f t="shared" si="1"/>
        <v>46116</v>
      </c>
      <c r="I18" s="14"/>
      <c r="J18" s="14">
        <f t="shared" si="2"/>
        <v>46118</v>
      </c>
      <c r="K18" s="14"/>
      <c r="L18" s="14">
        <f t="shared" si="3"/>
        <v>46120</v>
      </c>
      <c r="M18" s="18"/>
    </row>
    <row r="19" spans="1:14" x14ac:dyDescent="0.2">
      <c r="A19" s="4">
        <v>8</v>
      </c>
      <c r="B19" s="24">
        <v>1007669080</v>
      </c>
      <c r="C19" s="12" t="s">
        <v>24</v>
      </c>
      <c r="D19" s="13">
        <f>'4-IMPLEMENTACIÓN - RAP 3'!L19+3</f>
        <v>46112</v>
      </c>
      <c r="E19" s="14"/>
      <c r="F19" s="14">
        <f t="shared" si="0"/>
        <v>46114</v>
      </c>
      <c r="G19" s="14"/>
      <c r="H19" s="14">
        <f t="shared" si="1"/>
        <v>46116</v>
      </c>
      <c r="I19" s="14"/>
      <c r="J19" s="14">
        <f t="shared" si="2"/>
        <v>46118</v>
      </c>
      <c r="K19" s="14"/>
      <c r="L19" s="14">
        <f t="shared" si="3"/>
        <v>46120</v>
      </c>
      <c r="M19" s="18"/>
    </row>
    <row r="20" spans="1:14" x14ac:dyDescent="0.2">
      <c r="A20" s="4">
        <v>9</v>
      </c>
      <c r="B20" s="24">
        <v>1097782785</v>
      </c>
      <c r="C20" s="12" t="s">
        <v>25</v>
      </c>
      <c r="D20" s="13">
        <f>'4-IMPLEMENTACIÓN - RAP 3'!L20+3</f>
        <v>46112</v>
      </c>
      <c r="E20" s="14"/>
      <c r="F20" s="14">
        <f t="shared" si="0"/>
        <v>46114</v>
      </c>
      <c r="G20" s="14"/>
      <c r="H20" s="14">
        <f t="shared" si="1"/>
        <v>46116</v>
      </c>
      <c r="I20" s="14"/>
      <c r="J20" s="14">
        <f t="shared" si="2"/>
        <v>46118</v>
      </c>
      <c r="K20" s="14"/>
      <c r="L20" s="14">
        <f t="shared" si="3"/>
        <v>46120</v>
      </c>
      <c r="M20" s="18"/>
    </row>
    <row r="21" spans="1:14" x14ac:dyDescent="0.2">
      <c r="A21" s="4">
        <v>10</v>
      </c>
      <c r="B21" s="24">
        <v>1005150095</v>
      </c>
      <c r="C21" s="12" t="s">
        <v>26</v>
      </c>
      <c r="D21" s="13">
        <f>'4-IMPLEMENTACIÓN - RAP 3'!L21+3</f>
        <v>46112</v>
      </c>
      <c r="E21" s="14"/>
      <c r="F21" s="14">
        <f t="shared" si="0"/>
        <v>46114</v>
      </c>
      <c r="G21" s="14"/>
      <c r="H21" s="14">
        <f t="shared" si="1"/>
        <v>46116</v>
      </c>
      <c r="I21" s="14"/>
      <c r="J21" s="14">
        <f t="shared" si="2"/>
        <v>46118</v>
      </c>
      <c r="K21" s="14"/>
      <c r="L21" s="14">
        <f t="shared" si="3"/>
        <v>46120</v>
      </c>
      <c r="M21" s="18"/>
    </row>
    <row r="22" spans="1:14" x14ac:dyDescent="0.2">
      <c r="A22" s="4">
        <v>11</v>
      </c>
      <c r="B22" s="24">
        <v>1102356440</v>
      </c>
      <c r="C22" s="12" t="s">
        <v>27</v>
      </c>
      <c r="D22" s="13">
        <f>'4-IMPLEMENTACIÓN - RAP 3'!L22+3</f>
        <v>46112</v>
      </c>
      <c r="E22" s="14"/>
      <c r="F22" s="14">
        <f t="shared" si="0"/>
        <v>46114</v>
      </c>
      <c r="G22" s="14"/>
      <c r="H22" s="14">
        <f t="shared" si="1"/>
        <v>46116</v>
      </c>
      <c r="I22" s="14"/>
      <c r="J22" s="14">
        <f t="shared" si="2"/>
        <v>46118</v>
      </c>
      <c r="K22" s="14"/>
      <c r="L22" s="14">
        <f t="shared" si="3"/>
        <v>46120</v>
      </c>
      <c r="M22" s="18"/>
    </row>
    <row r="23" spans="1:14" x14ac:dyDescent="0.2">
      <c r="A23" s="4">
        <v>12</v>
      </c>
      <c r="B23" s="24">
        <v>1103672243</v>
      </c>
      <c r="C23" s="12" t="s">
        <v>28</v>
      </c>
      <c r="D23" s="13">
        <f>'4-IMPLEMENTACIÓN - RAP 3'!L23+3</f>
        <v>46112</v>
      </c>
      <c r="E23" s="14"/>
      <c r="F23" s="14">
        <f t="shared" si="0"/>
        <v>46114</v>
      </c>
      <c r="G23" s="14"/>
      <c r="H23" s="14">
        <f t="shared" si="1"/>
        <v>46116</v>
      </c>
      <c r="I23" s="14"/>
      <c r="J23" s="14">
        <f t="shared" si="2"/>
        <v>46118</v>
      </c>
      <c r="K23" s="14"/>
      <c r="L23" s="14">
        <f t="shared" si="3"/>
        <v>46120</v>
      </c>
      <c r="M23" s="18"/>
    </row>
    <row r="24" spans="1:14" x14ac:dyDescent="0.2">
      <c r="A24" s="4">
        <v>13</v>
      </c>
      <c r="B24" s="24">
        <v>1004945055</v>
      </c>
      <c r="C24" s="12" t="s">
        <v>29</v>
      </c>
      <c r="D24" s="13">
        <f>'4-IMPLEMENTACIÓN - RAP 3'!L24+3</f>
        <v>46112</v>
      </c>
      <c r="E24" s="14"/>
      <c r="F24" s="14">
        <f t="shared" si="0"/>
        <v>46114</v>
      </c>
      <c r="G24" s="14"/>
      <c r="H24" s="14">
        <f t="shared" si="1"/>
        <v>46116</v>
      </c>
      <c r="I24" s="14"/>
      <c r="J24" s="14">
        <f t="shared" si="2"/>
        <v>46118</v>
      </c>
      <c r="K24" s="14"/>
      <c r="L24" s="14">
        <f t="shared" si="3"/>
        <v>46120</v>
      </c>
      <c r="M24" s="18"/>
    </row>
    <row r="25" spans="1:14" x14ac:dyDescent="0.2">
      <c r="A25" s="4">
        <v>14</v>
      </c>
      <c r="B25" s="24">
        <v>1005373507</v>
      </c>
      <c r="C25" s="12" t="s">
        <v>30</v>
      </c>
      <c r="D25" s="13">
        <f>'4-IMPLEMENTACIÓN - RAP 3'!L25+3</f>
        <v>46112</v>
      </c>
      <c r="E25" s="14"/>
      <c r="F25" s="14">
        <f t="shared" si="0"/>
        <v>46114</v>
      </c>
      <c r="G25" s="14"/>
      <c r="H25" s="14">
        <f t="shared" si="1"/>
        <v>46116</v>
      </c>
      <c r="I25" s="14"/>
      <c r="J25" s="14">
        <f t="shared" si="2"/>
        <v>46118</v>
      </c>
      <c r="K25" s="14"/>
      <c r="L25" s="14">
        <f t="shared" si="3"/>
        <v>46120</v>
      </c>
      <c r="M25" s="18"/>
    </row>
    <row r="26" spans="1:14" s="9" customFormat="1" ht="10.8" thickBot="1" x14ac:dyDescent="0.25">
      <c r="A26" s="19">
        <v>15</v>
      </c>
      <c r="B26" s="25">
        <v>1099736902</v>
      </c>
      <c r="C26" s="20" t="s">
        <v>31</v>
      </c>
      <c r="D26" s="21">
        <f>'4-IMPLEMENTACIÓN - RAP 3'!L26+3</f>
        <v>46112</v>
      </c>
      <c r="E26" s="22"/>
      <c r="F26" s="22">
        <f t="shared" si="0"/>
        <v>46114</v>
      </c>
      <c r="G26" s="22"/>
      <c r="H26" s="22">
        <f t="shared" si="1"/>
        <v>46116</v>
      </c>
      <c r="I26" s="22"/>
      <c r="J26" s="22">
        <f t="shared" si="2"/>
        <v>46118</v>
      </c>
      <c r="K26" s="22"/>
      <c r="L26" s="22">
        <f t="shared" si="3"/>
        <v>46120</v>
      </c>
      <c r="M26" s="23"/>
      <c r="N26" s="15"/>
    </row>
  </sheetData>
  <mergeCells count="19">
    <mergeCell ref="H10:I10"/>
    <mergeCell ref="J10:K10"/>
    <mergeCell ref="L10:M10"/>
    <mergeCell ref="A8:B8"/>
    <mergeCell ref="C8:M8"/>
    <mergeCell ref="A9:C10"/>
    <mergeCell ref="D9:E9"/>
    <mergeCell ref="F9:G9"/>
    <mergeCell ref="H9:I9"/>
    <mergeCell ref="J9:K9"/>
    <mergeCell ref="L9:M9"/>
    <mergeCell ref="D10:E10"/>
    <mergeCell ref="F10:G10"/>
    <mergeCell ref="A1:M5"/>
    <mergeCell ref="C6:D6"/>
    <mergeCell ref="G6:H6"/>
    <mergeCell ref="I6:M6"/>
    <mergeCell ref="A7:B7"/>
    <mergeCell ref="C7:M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D34B0-3E8E-41E9-BC4C-B34244932D7B}">
  <dimension ref="A1:O26"/>
  <sheetViews>
    <sheetView topLeftCell="A7" zoomScale="120" zoomScaleNormal="120" workbookViewId="0">
      <selection activeCell="E31" sqref="E31"/>
    </sheetView>
  </sheetViews>
  <sheetFormatPr baseColWidth="10" defaultColWidth="11.44140625" defaultRowHeight="10.199999999999999" x14ac:dyDescent="0.2"/>
  <cols>
    <col min="1" max="1" width="5" style="1" bestFit="1" customWidth="1"/>
    <col min="2" max="2" width="9.5546875" style="3" bestFit="1" customWidth="1"/>
    <col min="3" max="3" width="30.109375" style="3" bestFit="1" customWidth="1"/>
    <col min="4" max="4" width="8.5546875" style="1" customWidth="1"/>
    <col min="5" max="5" width="5.6640625" style="1" customWidth="1"/>
    <col min="6" max="6" width="8.5546875" style="1" customWidth="1"/>
    <col min="7" max="7" width="5.6640625" style="1" customWidth="1"/>
    <col min="8" max="8" width="8.5546875" style="1" customWidth="1"/>
    <col min="9" max="9" width="5.6640625" style="1" customWidth="1"/>
    <col min="10" max="10" width="8.5546875" style="1" customWidth="1"/>
    <col min="11" max="11" width="5.6640625" style="1" customWidth="1"/>
    <col min="12" max="12" width="8.5546875" style="1" customWidth="1"/>
    <col min="13" max="13" width="5.6640625" style="1" customWidth="1"/>
    <col min="14" max="16384" width="11.44140625" style="1"/>
  </cols>
  <sheetData>
    <row r="1" spans="1:15" x14ac:dyDescent="0.2">
      <c r="A1" s="76" t="s">
        <v>37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8"/>
    </row>
    <row r="2" spans="1:15" x14ac:dyDescent="0.2">
      <c r="A2" s="79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1:15" x14ac:dyDescent="0.2">
      <c r="A3" s="79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1"/>
    </row>
    <row r="4" spans="1:15" x14ac:dyDescent="0.2">
      <c r="A4" s="82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1"/>
    </row>
    <row r="5" spans="1:15" ht="10.8" thickBot="1" x14ac:dyDescent="0.25">
      <c r="A5" s="83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5" ht="15" thickBot="1" x14ac:dyDescent="0.35">
      <c r="A6" s="5" t="s">
        <v>0</v>
      </c>
      <c r="B6" s="6">
        <v>2993128</v>
      </c>
      <c r="C6" s="86" t="s">
        <v>9</v>
      </c>
      <c r="D6" s="86"/>
      <c r="E6" s="10" t="s">
        <v>1</v>
      </c>
      <c r="F6" s="11" t="s">
        <v>33</v>
      </c>
      <c r="G6" s="87" t="s">
        <v>10</v>
      </c>
      <c r="H6" s="87"/>
      <c r="I6" s="88" t="s">
        <v>32</v>
      </c>
      <c r="J6" s="88"/>
      <c r="K6" s="88"/>
      <c r="L6" s="88"/>
      <c r="M6" s="89"/>
      <c r="O6"/>
    </row>
    <row r="7" spans="1:15" ht="10.8" thickBot="1" x14ac:dyDescent="0.25">
      <c r="A7" s="90" t="s">
        <v>2</v>
      </c>
      <c r="B7" s="91"/>
      <c r="C7" s="92" t="s">
        <v>38</v>
      </c>
      <c r="D7" s="92"/>
      <c r="E7" s="92"/>
      <c r="F7" s="92"/>
      <c r="G7" s="92"/>
      <c r="H7" s="92"/>
      <c r="I7" s="92"/>
      <c r="J7" s="92"/>
      <c r="K7" s="92"/>
      <c r="L7" s="92"/>
      <c r="M7" s="93"/>
    </row>
    <row r="8" spans="1:15" ht="24" customHeight="1" thickBot="1" x14ac:dyDescent="0.25">
      <c r="A8" s="90" t="s">
        <v>35</v>
      </c>
      <c r="B8" s="98"/>
      <c r="C8" s="99" t="s">
        <v>40</v>
      </c>
      <c r="D8" s="91"/>
      <c r="E8" s="91"/>
      <c r="F8" s="91"/>
      <c r="G8" s="91"/>
      <c r="H8" s="91"/>
      <c r="I8" s="91"/>
      <c r="J8" s="91"/>
      <c r="K8" s="91"/>
      <c r="L8" s="91"/>
      <c r="M8" s="100"/>
    </row>
    <row r="9" spans="1:15" x14ac:dyDescent="0.2">
      <c r="A9" s="101" t="s">
        <v>3</v>
      </c>
      <c r="B9" s="102"/>
      <c r="C9" s="102"/>
      <c r="D9" s="105" t="s">
        <v>11</v>
      </c>
      <c r="E9" s="105"/>
      <c r="F9" s="105" t="s">
        <v>12</v>
      </c>
      <c r="G9" s="105"/>
      <c r="H9" s="105" t="s">
        <v>13</v>
      </c>
      <c r="I9" s="105"/>
      <c r="J9" s="105" t="s">
        <v>14</v>
      </c>
      <c r="K9" s="105"/>
      <c r="L9" s="105" t="s">
        <v>15</v>
      </c>
      <c r="M9" s="106"/>
    </row>
    <row r="10" spans="1:15" s="2" customFormat="1" ht="34.5" customHeight="1" thickBot="1" x14ac:dyDescent="0.25">
      <c r="A10" s="103"/>
      <c r="B10" s="104"/>
      <c r="C10" s="104"/>
      <c r="D10" s="94" t="s">
        <v>95</v>
      </c>
      <c r="E10" s="94"/>
      <c r="F10" s="94" t="s">
        <v>96</v>
      </c>
      <c r="G10" s="94"/>
      <c r="H10" s="94" t="s">
        <v>51</v>
      </c>
      <c r="I10" s="94"/>
      <c r="J10" s="95" t="s">
        <v>50</v>
      </c>
      <c r="K10" s="95"/>
      <c r="L10" s="96" t="s">
        <v>16</v>
      </c>
      <c r="M10" s="97"/>
    </row>
    <row r="11" spans="1:15" ht="10.8" thickBot="1" x14ac:dyDescent="0.25">
      <c r="A11" s="50" t="s">
        <v>4</v>
      </c>
      <c r="B11" s="51" t="s">
        <v>5</v>
      </c>
      <c r="C11" s="52" t="s">
        <v>6</v>
      </c>
      <c r="D11" s="36" t="s">
        <v>7</v>
      </c>
      <c r="E11" s="36" t="s">
        <v>8</v>
      </c>
      <c r="F11" s="36" t="s">
        <v>7</v>
      </c>
      <c r="G11" s="36" t="s">
        <v>8</v>
      </c>
      <c r="H11" s="36" t="s">
        <v>7</v>
      </c>
      <c r="I11" s="36" t="s">
        <v>8</v>
      </c>
      <c r="J11" s="36" t="s">
        <v>7</v>
      </c>
      <c r="K11" s="36" t="s">
        <v>8</v>
      </c>
      <c r="L11" s="36" t="s">
        <v>7</v>
      </c>
      <c r="M11" s="37" t="s">
        <v>8</v>
      </c>
    </row>
    <row r="12" spans="1:15" x14ac:dyDescent="0.2">
      <c r="A12" s="53">
        <v>1</v>
      </c>
      <c r="B12" s="54">
        <v>1098805906</v>
      </c>
      <c r="C12" s="55" t="s">
        <v>17</v>
      </c>
      <c r="D12" s="56">
        <f>'5-IMPLEMENTACIÓN - RAP 4'!L12+1</f>
        <v>46121</v>
      </c>
      <c r="E12" s="39"/>
      <c r="F12" s="39">
        <f>D12+4</f>
        <v>46125</v>
      </c>
      <c r="G12" s="39"/>
      <c r="H12" s="39">
        <f>F12+3</f>
        <v>46128</v>
      </c>
      <c r="I12" s="39"/>
      <c r="J12" s="39">
        <f>H12+1</f>
        <v>46129</v>
      </c>
      <c r="K12" s="39"/>
      <c r="L12" s="39">
        <f>J12+1</f>
        <v>46130</v>
      </c>
      <c r="M12" s="40"/>
    </row>
    <row r="13" spans="1:15" x14ac:dyDescent="0.2">
      <c r="A13" s="4">
        <v>2</v>
      </c>
      <c r="B13" s="24">
        <v>1095838804</v>
      </c>
      <c r="C13" s="12" t="s">
        <v>18</v>
      </c>
      <c r="D13" s="13">
        <f>'5-IMPLEMENTACIÓN - RAP 4'!L13+1</f>
        <v>46121</v>
      </c>
      <c r="E13" s="14"/>
      <c r="F13" s="14">
        <f t="shared" ref="F13:F26" si="0">D13+4</f>
        <v>46125</v>
      </c>
      <c r="G13" s="14"/>
      <c r="H13" s="14">
        <f t="shared" ref="H13:H26" si="1">F13+3</f>
        <v>46128</v>
      </c>
      <c r="I13" s="14"/>
      <c r="J13" s="14">
        <f t="shared" ref="J13:J26" si="2">H13+1</f>
        <v>46129</v>
      </c>
      <c r="K13" s="14"/>
      <c r="L13" s="14">
        <f t="shared" ref="L13:L26" si="3">J13+1</f>
        <v>46130</v>
      </c>
      <c r="M13" s="18"/>
    </row>
    <row r="14" spans="1:15" x14ac:dyDescent="0.2">
      <c r="A14" s="4">
        <v>3</v>
      </c>
      <c r="B14" s="24">
        <v>1050547441</v>
      </c>
      <c r="C14" s="12" t="s">
        <v>19</v>
      </c>
      <c r="D14" s="13">
        <f>'5-IMPLEMENTACIÓN - RAP 4'!L14+1</f>
        <v>46121</v>
      </c>
      <c r="E14" s="14"/>
      <c r="F14" s="14">
        <f t="shared" si="0"/>
        <v>46125</v>
      </c>
      <c r="G14" s="14"/>
      <c r="H14" s="14">
        <f t="shared" si="1"/>
        <v>46128</v>
      </c>
      <c r="I14" s="14"/>
      <c r="J14" s="14">
        <f t="shared" si="2"/>
        <v>46129</v>
      </c>
      <c r="K14" s="14"/>
      <c r="L14" s="14">
        <f t="shared" si="3"/>
        <v>46130</v>
      </c>
      <c r="M14" s="18"/>
    </row>
    <row r="15" spans="1:15" x14ac:dyDescent="0.2">
      <c r="A15" s="4">
        <v>4</v>
      </c>
      <c r="B15" s="24">
        <v>1095814477</v>
      </c>
      <c r="C15" s="12" t="s">
        <v>20</v>
      </c>
      <c r="D15" s="13">
        <f>'5-IMPLEMENTACIÓN - RAP 4'!L15+1</f>
        <v>46121</v>
      </c>
      <c r="E15" s="14"/>
      <c r="F15" s="14">
        <f t="shared" si="0"/>
        <v>46125</v>
      </c>
      <c r="G15" s="14"/>
      <c r="H15" s="14">
        <f t="shared" si="1"/>
        <v>46128</v>
      </c>
      <c r="I15" s="14"/>
      <c r="J15" s="14">
        <f t="shared" si="2"/>
        <v>46129</v>
      </c>
      <c r="K15" s="14"/>
      <c r="L15" s="14">
        <f t="shared" si="3"/>
        <v>46130</v>
      </c>
      <c r="M15" s="18"/>
    </row>
    <row r="16" spans="1:15" x14ac:dyDescent="0.2">
      <c r="A16" s="4">
        <v>5</v>
      </c>
      <c r="B16" s="24">
        <v>1004912749</v>
      </c>
      <c r="C16" s="12" t="s">
        <v>21</v>
      </c>
      <c r="D16" s="13">
        <f>'5-IMPLEMENTACIÓN - RAP 4'!L16+1</f>
        <v>46121</v>
      </c>
      <c r="E16" s="14"/>
      <c r="F16" s="14">
        <f t="shared" si="0"/>
        <v>46125</v>
      </c>
      <c r="G16" s="14"/>
      <c r="H16" s="14">
        <f t="shared" si="1"/>
        <v>46128</v>
      </c>
      <c r="I16" s="14"/>
      <c r="J16" s="14">
        <f t="shared" si="2"/>
        <v>46129</v>
      </c>
      <c r="K16" s="14"/>
      <c r="L16" s="14">
        <f t="shared" si="3"/>
        <v>46130</v>
      </c>
      <c r="M16" s="18"/>
    </row>
    <row r="17" spans="1:14" x14ac:dyDescent="0.2">
      <c r="A17" s="4">
        <v>6</v>
      </c>
      <c r="B17" s="24">
        <v>1097496752</v>
      </c>
      <c r="C17" s="12" t="s">
        <v>22</v>
      </c>
      <c r="D17" s="13">
        <f>'5-IMPLEMENTACIÓN - RAP 4'!L17+1</f>
        <v>46121</v>
      </c>
      <c r="E17" s="14"/>
      <c r="F17" s="14">
        <f t="shared" si="0"/>
        <v>46125</v>
      </c>
      <c r="G17" s="14"/>
      <c r="H17" s="14">
        <f t="shared" si="1"/>
        <v>46128</v>
      </c>
      <c r="I17" s="14"/>
      <c r="J17" s="14">
        <f t="shared" si="2"/>
        <v>46129</v>
      </c>
      <c r="K17" s="14"/>
      <c r="L17" s="14">
        <f t="shared" si="3"/>
        <v>46130</v>
      </c>
      <c r="M17" s="18"/>
    </row>
    <row r="18" spans="1:14" x14ac:dyDescent="0.2">
      <c r="A18" s="4">
        <v>7</v>
      </c>
      <c r="B18" s="24">
        <v>1097912512</v>
      </c>
      <c r="C18" s="12" t="s">
        <v>23</v>
      </c>
      <c r="D18" s="13">
        <f>'5-IMPLEMENTACIÓN - RAP 4'!L18+1</f>
        <v>46121</v>
      </c>
      <c r="E18" s="14"/>
      <c r="F18" s="14">
        <f t="shared" si="0"/>
        <v>46125</v>
      </c>
      <c r="G18" s="14"/>
      <c r="H18" s="14">
        <f t="shared" si="1"/>
        <v>46128</v>
      </c>
      <c r="I18" s="14"/>
      <c r="J18" s="14">
        <f t="shared" si="2"/>
        <v>46129</v>
      </c>
      <c r="K18" s="14"/>
      <c r="L18" s="14">
        <f t="shared" si="3"/>
        <v>46130</v>
      </c>
      <c r="M18" s="18"/>
    </row>
    <row r="19" spans="1:14" x14ac:dyDescent="0.2">
      <c r="A19" s="4">
        <v>8</v>
      </c>
      <c r="B19" s="24">
        <v>1007669080</v>
      </c>
      <c r="C19" s="12" t="s">
        <v>24</v>
      </c>
      <c r="D19" s="13">
        <f>'5-IMPLEMENTACIÓN - RAP 4'!L19+1</f>
        <v>46121</v>
      </c>
      <c r="E19" s="14"/>
      <c r="F19" s="14">
        <f t="shared" si="0"/>
        <v>46125</v>
      </c>
      <c r="G19" s="14"/>
      <c r="H19" s="14">
        <f t="shared" si="1"/>
        <v>46128</v>
      </c>
      <c r="I19" s="14"/>
      <c r="J19" s="14">
        <f t="shared" si="2"/>
        <v>46129</v>
      </c>
      <c r="K19" s="14"/>
      <c r="L19" s="14">
        <f t="shared" si="3"/>
        <v>46130</v>
      </c>
      <c r="M19" s="18"/>
    </row>
    <row r="20" spans="1:14" x14ac:dyDescent="0.2">
      <c r="A20" s="4">
        <v>9</v>
      </c>
      <c r="B20" s="24">
        <v>1097782785</v>
      </c>
      <c r="C20" s="12" t="s">
        <v>25</v>
      </c>
      <c r="D20" s="13">
        <f>'5-IMPLEMENTACIÓN - RAP 4'!L20+1</f>
        <v>46121</v>
      </c>
      <c r="E20" s="14"/>
      <c r="F20" s="14">
        <f t="shared" si="0"/>
        <v>46125</v>
      </c>
      <c r="G20" s="14"/>
      <c r="H20" s="14">
        <f t="shared" si="1"/>
        <v>46128</v>
      </c>
      <c r="I20" s="14"/>
      <c r="J20" s="14">
        <f t="shared" si="2"/>
        <v>46129</v>
      </c>
      <c r="K20" s="14"/>
      <c r="L20" s="14">
        <f t="shared" si="3"/>
        <v>46130</v>
      </c>
      <c r="M20" s="18"/>
    </row>
    <row r="21" spans="1:14" x14ac:dyDescent="0.2">
      <c r="A21" s="4">
        <v>10</v>
      </c>
      <c r="B21" s="24">
        <v>1005150095</v>
      </c>
      <c r="C21" s="12" t="s">
        <v>26</v>
      </c>
      <c r="D21" s="13">
        <f>'5-IMPLEMENTACIÓN - RAP 4'!L21+1</f>
        <v>46121</v>
      </c>
      <c r="E21" s="14"/>
      <c r="F21" s="14">
        <f t="shared" si="0"/>
        <v>46125</v>
      </c>
      <c r="G21" s="14"/>
      <c r="H21" s="14">
        <f t="shared" si="1"/>
        <v>46128</v>
      </c>
      <c r="I21" s="14"/>
      <c r="J21" s="14">
        <f t="shared" si="2"/>
        <v>46129</v>
      </c>
      <c r="K21" s="14"/>
      <c r="L21" s="14">
        <f t="shared" si="3"/>
        <v>46130</v>
      </c>
      <c r="M21" s="18"/>
    </row>
    <row r="22" spans="1:14" x14ac:dyDescent="0.2">
      <c r="A22" s="4">
        <v>11</v>
      </c>
      <c r="B22" s="24">
        <v>1102356440</v>
      </c>
      <c r="C22" s="12" t="s">
        <v>27</v>
      </c>
      <c r="D22" s="13">
        <f>'5-IMPLEMENTACIÓN - RAP 4'!L22+1</f>
        <v>46121</v>
      </c>
      <c r="E22" s="14"/>
      <c r="F22" s="14">
        <f t="shared" si="0"/>
        <v>46125</v>
      </c>
      <c r="G22" s="14"/>
      <c r="H22" s="14">
        <f t="shared" si="1"/>
        <v>46128</v>
      </c>
      <c r="I22" s="14"/>
      <c r="J22" s="14">
        <f t="shared" si="2"/>
        <v>46129</v>
      </c>
      <c r="K22" s="14"/>
      <c r="L22" s="14">
        <f t="shared" si="3"/>
        <v>46130</v>
      </c>
      <c r="M22" s="18"/>
    </row>
    <row r="23" spans="1:14" x14ac:dyDescent="0.2">
      <c r="A23" s="4">
        <v>12</v>
      </c>
      <c r="B23" s="24">
        <v>1103672243</v>
      </c>
      <c r="C23" s="12" t="s">
        <v>28</v>
      </c>
      <c r="D23" s="13">
        <f>'5-IMPLEMENTACIÓN - RAP 4'!L23+1</f>
        <v>46121</v>
      </c>
      <c r="E23" s="14"/>
      <c r="F23" s="14">
        <f t="shared" si="0"/>
        <v>46125</v>
      </c>
      <c r="G23" s="14"/>
      <c r="H23" s="14">
        <f t="shared" si="1"/>
        <v>46128</v>
      </c>
      <c r="I23" s="14"/>
      <c r="J23" s="14">
        <f t="shared" si="2"/>
        <v>46129</v>
      </c>
      <c r="K23" s="14"/>
      <c r="L23" s="14">
        <f t="shared" si="3"/>
        <v>46130</v>
      </c>
      <c r="M23" s="18"/>
    </row>
    <row r="24" spans="1:14" x14ac:dyDescent="0.2">
      <c r="A24" s="4">
        <v>13</v>
      </c>
      <c r="B24" s="24">
        <v>1004945055</v>
      </c>
      <c r="C24" s="12" t="s">
        <v>29</v>
      </c>
      <c r="D24" s="13">
        <f>'5-IMPLEMENTACIÓN - RAP 4'!L24+1</f>
        <v>46121</v>
      </c>
      <c r="E24" s="14"/>
      <c r="F24" s="14">
        <f t="shared" si="0"/>
        <v>46125</v>
      </c>
      <c r="G24" s="14"/>
      <c r="H24" s="14">
        <f t="shared" si="1"/>
        <v>46128</v>
      </c>
      <c r="I24" s="14"/>
      <c r="J24" s="14">
        <f t="shared" si="2"/>
        <v>46129</v>
      </c>
      <c r="K24" s="14"/>
      <c r="L24" s="14">
        <f t="shared" si="3"/>
        <v>46130</v>
      </c>
      <c r="M24" s="18"/>
    </row>
    <row r="25" spans="1:14" x14ac:dyDescent="0.2">
      <c r="A25" s="4">
        <v>14</v>
      </c>
      <c r="B25" s="24">
        <v>1005373507</v>
      </c>
      <c r="C25" s="12" t="s">
        <v>30</v>
      </c>
      <c r="D25" s="13">
        <f>'5-IMPLEMENTACIÓN - RAP 4'!L25+1</f>
        <v>46121</v>
      </c>
      <c r="E25" s="14"/>
      <c r="F25" s="14">
        <f t="shared" si="0"/>
        <v>46125</v>
      </c>
      <c r="G25" s="14"/>
      <c r="H25" s="14">
        <f t="shared" si="1"/>
        <v>46128</v>
      </c>
      <c r="I25" s="14"/>
      <c r="J25" s="14">
        <f t="shared" si="2"/>
        <v>46129</v>
      </c>
      <c r="K25" s="14"/>
      <c r="L25" s="14">
        <f t="shared" si="3"/>
        <v>46130</v>
      </c>
      <c r="M25" s="18"/>
    </row>
    <row r="26" spans="1:14" s="9" customFormat="1" ht="10.8" thickBot="1" x14ac:dyDescent="0.25">
      <c r="A26" s="19">
        <v>15</v>
      </c>
      <c r="B26" s="25">
        <v>1099736902</v>
      </c>
      <c r="C26" s="20" t="s">
        <v>31</v>
      </c>
      <c r="D26" s="21">
        <f>'5-IMPLEMENTACIÓN - RAP 4'!L26+1</f>
        <v>46121</v>
      </c>
      <c r="E26" s="22"/>
      <c r="F26" s="22">
        <f t="shared" si="0"/>
        <v>46125</v>
      </c>
      <c r="G26" s="22"/>
      <c r="H26" s="22">
        <f t="shared" si="1"/>
        <v>46128</v>
      </c>
      <c r="I26" s="22"/>
      <c r="J26" s="22">
        <f t="shared" si="2"/>
        <v>46129</v>
      </c>
      <c r="K26" s="22"/>
      <c r="L26" s="22">
        <f t="shared" si="3"/>
        <v>46130</v>
      </c>
      <c r="M26" s="23"/>
      <c r="N26" s="15"/>
    </row>
  </sheetData>
  <mergeCells count="19">
    <mergeCell ref="H10:I10"/>
    <mergeCell ref="J10:K10"/>
    <mergeCell ref="L10:M10"/>
    <mergeCell ref="A8:B8"/>
    <mergeCell ref="C8:M8"/>
    <mergeCell ref="A9:C10"/>
    <mergeCell ref="D9:E9"/>
    <mergeCell ref="F9:G9"/>
    <mergeCell ref="H9:I9"/>
    <mergeCell ref="J9:K9"/>
    <mergeCell ref="L9:M9"/>
    <mergeCell ref="D10:E10"/>
    <mergeCell ref="F10:G10"/>
    <mergeCell ref="A1:M5"/>
    <mergeCell ref="C6:D6"/>
    <mergeCell ref="G6:H6"/>
    <mergeCell ref="I6:M6"/>
    <mergeCell ref="A7:B7"/>
    <mergeCell ref="C7:M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F7836-F739-4A43-8F07-796FE0D78D28}">
  <dimension ref="A1:O26"/>
  <sheetViews>
    <sheetView topLeftCell="A7" zoomScale="120" zoomScaleNormal="120" workbookViewId="0">
      <selection activeCell="J10" sqref="J10:K10"/>
    </sheetView>
  </sheetViews>
  <sheetFormatPr baseColWidth="10" defaultColWidth="11.44140625" defaultRowHeight="10.199999999999999" x14ac:dyDescent="0.2"/>
  <cols>
    <col min="1" max="1" width="5" style="1" bestFit="1" customWidth="1"/>
    <col min="2" max="2" width="9.5546875" style="3" bestFit="1" customWidth="1"/>
    <col min="3" max="3" width="30.109375" style="3" bestFit="1" customWidth="1"/>
    <col min="4" max="4" width="8.5546875" style="1" customWidth="1"/>
    <col min="5" max="5" width="5.6640625" style="1" customWidth="1"/>
    <col min="6" max="6" width="8.5546875" style="1" customWidth="1"/>
    <col min="7" max="7" width="5.6640625" style="1" customWidth="1"/>
    <col min="8" max="8" width="8.5546875" style="1" customWidth="1"/>
    <col min="9" max="9" width="5.6640625" style="1" customWidth="1"/>
    <col min="10" max="10" width="8.5546875" style="1" customWidth="1"/>
    <col min="11" max="11" width="5.6640625" style="1" customWidth="1"/>
    <col min="12" max="12" width="8.5546875" style="1" customWidth="1"/>
    <col min="13" max="13" width="5.6640625" style="1" customWidth="1"/>
    <col min="14" max="16384" width="11.44140625" style="1"/>
  </cols>
  <sheetData>
    <row r="1" spans="1:15" x14ac:dyDescent="0.2">
      <c r="A1" s="76" t="s">
        <v>37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8"/>
    </row>
    <row r="2" spans="1:15" x14ac:dyDescent="0.2">
      <c r="A2" s="79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1:15" x14ac:dyDescent="0.2">
      <c r="A3" s="79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1"/>
    </row>
    <row r="4" spans="1:15" x14ac:dyDescent="0.2">
      <c r="A4" s="82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1"/>
    </row>
    <row r="5" spans="1:15" ht="10.8" thickBot="1" x14ac:dyDescent="0.25">
      <c r="A5" s="83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5" ht="32.25" customHeight="1" thickBot="1" x14ac:dyDescent="0.35">
      <c r="A6" s="5" t="s">
        <v>0</v>
      </c>
      <c r="B6" s="6">
        <v>2993128</v>
      </c>
      <c r="C6" s="86" t="s">
        <v>9</v>
      </c>
      <c r="D6" s="86"/>
      <c r="E6" s="10" t="s">
        <v>1</v>
      </c>
      <c r="F6" s="11" t="s">
        <v>33</v>
      </c>
      <c r="G6" s="87" t="s">
        <v>10</v>
      </c>
      <c r="H6" s="87"/>
      <c r="I6" s="88" t="s">
        <v>32</v>
      </c>
      <c r="J6" s="88"/>
      <c r="K6" s="88"/>
      <c r="L6" s="88"/>
      <c r="M6" s="89"/>
      <c r="O6"/>
    </row>
    <row r="7" spans="1:15" ht="10.8" thickBot="1" x14ac:dyDescent="0.25">
      <c r="A7" s="90" t="s">
        <v>2</v>
      </c>
      <c r="B7" s="91"/>
      <c r="C7" s="92" t="s">
        <v>38</v>
      </c>
      <c r="D7" s="92"/>
      <c r="E7" s="92"/>
      <c r="F7" s="92"/>
      <c r="G7" s="92"/>
      <c r="H7" s="92"/>
      <c r="I7" s="92"/>
      <c r="J7" s="92"/>
      <c r="K7" s="92"/>
      <c r="L7" s="92"/>
      <c r="M7" s="93"/>
    </row>
    <row r="8" spans="1:15" ht="23.25" customHeight="1" thickBot="1" x14ac:dyDescent="0.25">
      <c r="A8" s="90" t="s">
        <v>35</v>
      </c>
      <c r="B8" s="98"/>
      <c r="C8" s="99" t="s">
        <v>39</v>
      </c>
      <c r="D8" s="91"/>
      <c r="E8" s="91"/>
      <c r="F8" s="91"/>
      <c r="G8" s="91"/>
      <c r="H8" s="91"/>
      <c r="I8" s="91"/>
      <c r="J8" s="91"/>
      <c r="K8" s="91"/>
      <c r="L8" s="91"/>
      <c r="M8" s="100"/>
    </row>
    <row r="9" spans="1:15" x14ac:dyDescent="0.2">
      <c r="A9" s="101" t="s">
        <v>3</v>
      </c>
      <c r="B9" s="102"/>
      <c r="C9" s="102"/>
      <c r="D9" s="105" t="s">
        <v>11</v>
      </c>
      <c r="E9" s="105"/>
      <c r="F9" s="105" t="s">
        <v>12</v>
      </c>
      <c r="G9" s="105"/>
      <c r="H9" s="105" t="s">
        <v>13</v>
      </c>
      <c r="I9" s="105"/>
      <c r="J9" s="105" t="s">
        <v>14</v>
      </c>
      <c r="K9" s="105"/>
      <c r="L9" s="105" t="s">
        <v>15</v>
      </c>
      <c r="M9" s="106"/>
    </row>
    <row r="10" spans="1:15" s="2" customFormat="1" ht="80.25" customHeight="1" thickBot="1" x14ac:dyDescent="0.25">
      <c r="A10" s="103"/>
      <c r="B10" s="104"/>
      <c r="C10" s="104"/>
      <c r="D10" s="94" t="s">
        <v>102</v>
      </c>
      <c r="E10" s="94"/>
      <c r="F10" s="94" t="s">
        <v>98</v>
      </c>
      <c r="G10" s="94"/>
      <c r="H10" s="94" t="s">
        <v>51</v>
      </c>
      <c r="I10" s="94"/>
      <c r="J10" s="95" t="s">
        <v>50</v>
      </c>
      <c r="K10" s="95"/>
      <c r="L10" s="96" t="s">
        <v>97</v>
      </c>
      <c r="M10" s="97"/>
    </row>
    <row r="11" spans="1:15" ht="15.75" customHeight="1" thickBot="1" x14ac:dyDescent="0.25">
      <c r="A11" s="50" t="s">
        <v>4</v>
      </c>
      <c r="B11" s="51" t="s">
        <v>5</v>
      </c>
      <c r="C11" s="52" t="s">
        <v>6</v>
      </c>
      <c r="D11" s="36" t="s">
        <v>7</v>
      </c>
      <c r="E11" s="36" t="s">
        <v>8</v>
      </c>
      <c r="F11" s="36" t="s">
        <v>7</v>
      </c>
      <c r="G11" s="36" t="s">
        <v>8</v>
      </c>
      <c r="H11" s="36" t="s">
        <v>7</v>
      </c>
      <c r="I11" s="36" t="s">
        <v>8</v>
      </c>
      <c r="J11" s="36" t="s">
        <v>7</v>
      </c>
      <c r="K11" s="36" t="s">
        <v>8</v>
      </c>
      <c r="L11" s="36" t="s">
        <v>7</v>
      </c>
      <c r="M11" s="37" t="s">
        <v>8</v>
      </c>
    </row>
    <row r="12" spans="1:15" x14ac:dyDescent="0.2">
      <c r="A12" s="53">
        <v>1</v>
      </c>
      <c r="B12" s="54">
        <v>1098805906</v>
      </c>
      <c r="C12" s="55" t="s">
        <v>17</v>
      </c>
      <c r="D12" s="56">
        <f>'6-CONTROLAR LA CALIDAD - RAP 2'!L12+2</f>
        <v>46132</v>
      </c>
      <c r="E12" s="39"/>
      <c r="F12" s="39">
        <f>D12+2</f>
        <v>46134</v>
      </c>
      <c r="G12" s="39"/>
      <c r="H12" s="39">
        <f>F12+1</f>
        <v>46135</v>
      </c>
      <c r="I12" s="39"/>
      <c r="J12" s="39">
        <f>H12+1</f>
        <v>46136</v>
      </c>
      <c r="K12" s="39"/>
      <c r="L12" s="39">
        <f>J12+1</f>
        <v>46137</v>
      </c>
      <c r="M12" s="40"/>
    </row>
    <row r="13" spans="1:15" x14ac:dyDescent="0.2">
      <c r="A13" s="4">
        <v>2</v>
      </c>
      <c r="B13" s="24">
        <v>1095838804</v>
      </c>
      <c r="C13" s="12" t="s">
        <v>18</v>
      </c>
      <c r="D13" s="13">
        <f>'6-CONTROLAR LA CALIDAD - RAP 2'!L13+2</f>
        <v>46132</v>
      </c>
      <c r="E13" s="14"/>
      <c r="F13" s="14">
        <f t="shared" ref="F13:F26" si="0">D13+2</f>
        <v>46134</v>
      </c>
      <c r="G13" s="14"/>
      <c r="H13" s="14">
        <f t="shared" ref="H13:H26" si="1">F13+1</f>
        <v>46135</v>
      </c>
      <c r="I13" s="14"/>
      <c r="J13" s="14">
        <f t="shared" ref="J13:J26" si="2">H13+1</f>
        <v>46136</v>
      </c>
      <c r="K13" s="14"/>
      <c r="L13" s="14">
        <f t="shared" ref="L13:L26" si="3">J13+1</f>
        <v>46137</v>
      </c>
      <c r="M13" s="18"/>
    </row>
    <row r="14" spans="1:15" x14ac:dyDescent="0.2">
      <c r="A14" s="4">
        <v>3</v>
      </c>
      <c r="B14" s="24">
        <v>1050547441</v>
      </c>
      <c r="C14" s="12" t="s">
        <v>19</v>
      </c>
      <c r="D14" s="13">
        <f>'6-CONTROLAR LA CALIDAD - RAP 2'!L14+2</f>
        <v>46132</v>
      </c>
      <c r="E14" s="14"/>
      <c r="F14" s="14">
        <f t="shared" si="0"/>
        <v>46134</v>
      </c>
      <c r="G14" s="14"/>
      <c r="H14" s="14">
        <f t="shared" si="1"/>
        <v>46135</v>
      </c>
      <c r="I14" s="14"/>
      <c r="J14" s="14">
        <f t="shared" si="2"/>
        <v>46136</v>
      </c>
      <c r="K14" s="14"/>
      <c r="L14" s="14">
        <f t="shared" si="3"/>
        <v>46137</v>
      </c>
      <c r="M14" s="18"/>
    </row>
    <row r="15" spans="1:15" x14ac:dyDescent="0.2">
      <c r="A15" s="4">
        <v>4</v>
      </c>
      <c r="B15" s="24">
        <v>1095814477</v>
      </c>
      <c r="C15" s="12" t="s">
        <v>20</v>
      </c>
      <c r="D15" s="13">
        <f>'6-CONTROLAR LA CALIDAD - RAP 2'!L15+2</f>
        <v>46132</v>
      </c>
      <c r="E15" s="14"/>
      <c r="F15" s="14">
        <f t="shared" si="0"/>
        <v>46134</v>
      </c>
      <c r="G15" s="14"/>
      <c r="H15" s="14">
        <f t="shared" si="1"/>
        <v>46135</v>
      </c>
      <c r="I15" s="14"/>
      <c r="J15" s="14">
        <f t="shared" si="2"/>
        <v>46136</v>
      </c>
      <c r="K15" s="14"/>
      <c r="L15" s="14">
        <f t="shared" si="3"/>
        <v>46137</v>
      </c>
      <c r="M15" s="18"/>
    </row>
    <row r="16" spans="1:15" x14ac:dyDescent="0.2">
      <c r="A16" s="4">
        <v>5</v>
      </c>
      <c r="B16" s="24">
        <v>1004912749</v>
      </c>
      <c r="C16" s="12" t="s">
        <v>21</v>
      </c>
      <c r="D16" s="13">
        <f>'6-CONTROLAR LA CALIDAD - RAP 2'!L16+2</f>
        <v>46132</v>
      </c>
      <c r="E16" s="14"/>
      <c r="F16" s="14">
        <f t="shared" si="0"/>
        <v>46134</v>
      </c>
      <c r="G16" s="14"/>
      <c r="H16" s="14">
        <f t="shared" si="1"/>
        <v>46135</v>
      </c>
      <c r="I16" s="14"/>
      <c r="J16" s="14">
        <f t="shared" si="2"/>
        <v>46136</v>
      </c>
      <c r="K16" s="14"/>
      <c r="L16" s="14">
        <f t="shared" si="3"/>
        <v>46137</v>
      </c>
      <c r="M16" s="18"/>
    </row>
    <row r="17" spans="1:14" x14ac:dyDescent="0.2">
      <c r="A17" s="4">
        <v>6</v>
      </c>
      <c r="B17" s="24">
        <v>1097496752</v>
      </c>
      <c r="C17" s="12" t="s">
        <v>22</v>
      </c>
      <c r="D17" s="13">
        <f>'6-CONTROLAR LA CALIDAD - RAP 2'!L17+2</f>
        <v>46132</v>
      </c>
      <c r="E17" s="14"/>
      <c r="F17" s="14">
        <f t="shared" si="0"/>
        <v>46134</v>
      </c>
      <c r="G17" s="14"/>
      <c r="H17" s="14">
        <f t="shared" si="1"/>
        <v>46135</v>
      </c>
      <c r="I17" s="14"/>
      <c r="J17" s="14">
        <f t="shared" si="2"/>
        <v>46136</v>
      </c>
      <c r="K17" s="14"/>
      <c r="L17" s="14">
        <f t="shared" si="3"/>
        <v>46137</v>
      </c>
      <c r="M17" s="18"/>
    </row>
    <row r="18" spans="1:14" x14ac:dyDescent="0.2">
      <c r="A18" s="4">
        <v>7</v>
      </c>
      <c r="B18" s="24">
        <v>1097912512</v>
      </c>
      <c r="C18" s="12" t="s">
        <v>23</v>
      </c>
      <c r="D18" s="13">
        <f>'6-CONTROLAR LA CALIDAD - RAP 2'!L18+2</f>
        <v>46132</v>
      </c>
      <c r="E18" s="14"/>
      <c r="F18" s="14">
        <f t="shared" si="0"/>
        <v>46134</v>
      </c>
      <c r="G18" s="14"/>
      <c r="H18" s="14">
        <f t="shared" si="1"/>
        <v>46135</v>
      </c>
      <c r="I18" s="14"/>
      <c r="J18" s="14">
        <f t="shared" si="2"/>
        <v>46136</v>
      </c>
      <c r="K18" s="14"/>
      <c r="L18" s="14">
        <f t="shared" si="3"/>
        <v>46137</v>
      </c>
      <c r="M18" s="18"/>
    </row>
    <row r="19" spans="1:14" x14ac:dyDescent="0.2">
      <c r="A19" s="4">
        <v>8</v>
      </c>
      <c r="B19" s="24">
        <v>1007669080</v>
      </c>
      <c r="C19" s="12" t="s">
        <v>24</v>
      </c>
      <c r="D19" s="13">
        <f>'6-CONTROLAR LA CALIDAD - RAP 2'!L19+2</f>
        <v>46132</v>
      </c>
      <c r="E19" s="14"/>
      <c r="F19" s="14">
        <f t="shared" si="0"/>
        <v>46134</v>
      </c>
      <c r="G19" s="14"/>
      <c r="H19" s="14">
        <f t="shared" si="1"/>
        <v>46135</v>
      </c>
      <c r="I19" s="14"/>
      <c r="J19" s="14">
        <f t="shared" si="2"/>
        <v>46136</v>
      </c>
      <c r="K19" s="14"/>
      <c r="L19" s="14">
        <f t="shared" si="3"/>
        <v>46137</v>
      </c>
      <c r="M19" s="18"/>
    </row>
    <row r="20" spans="1:14" x14ac:dyDescent="0.2">
      <c r="A20" s="4">
        <v>9</v>
      </c>
      <c r="B20" s="24">
        <v>1097782785</v>
      </c>
      <c r="C20" s="12" t="s">
        <v>25</v>
      </c>
      <c r="D20" s="13">
        <f>'6-CONTROLAR LA CALIDAD - RAP 2'!L20+2</f>
        <v>46132</v>
      </c>
      <c r="E20" s="14"/>
      <c r="F20" s="14">
        <f t="shared" si="0"/>
        <v>46134</v>
      </c>
      <c r="G20" s="14"/>
      <c r="H20" s="14">
        <f t="shared" si="1"/>
        <v>46135</v>
      </c>
      <c r="I20" s="14"/>
      <c r="J20" s="14">
        <f t="shared" si="2"/>
        <v>46136</v>
      </c>
      <c r="K20" s="14"/>
      <c r="L20" s="14">
        <f t="shared" si="3"/>
        <v>46137</v>
      </c>
      <c r="M20" s="18"/>
    </row>
    <row r="21" spans="1:14" x14ac:dyDescent="0.2">
      <c r="A21" s="4">
        <v>10</v>
      </c>
      <c r="B21" s="24">
        <v>1005150095</v>
      </c>
      <c r="C21" s="12" t="s">
        <v>26</v>
      </c>
      <c r="D21" s="13">
        <f>'6-CONTROLAR LA CALIDAD - RAP 2'!L21+2</f>
        <v>46132</v>
      </c>
      <c r="E21" s="14"/>
      <c r="F21" s="14">
        <f t="shared" si="0"/>
        <v>46134</v>
      </c>
      <c r="G21" s="14"/>
      <c r="H21" s="14">
        <f t="shared" si="1"/>
        <v>46135</v>
      </c>
      <c r="I21" s="14"/>
      <c r="J21" s="14">
        <f t="shared" si="2"/>
        <v>46136</v>
      </c>
      <c r="K21" s="14"/>
      <c r="L21" s="14">
        <f t="shared" si="3"/>
        <v>46137</v>
      </c>
      <c r="M21" s="18"/>
    </row>
    <row r="22" spans="1:14" x14ac:dyDescent="0.2">
      <c r="A22" s="4">
        <v>11</v>
      </c>
      <c r="B22" s="24">
        <v>1102356440</v>
      </c>
      <c r="C22" s="12" t="s">
        <v>27</v>
      </c>
      <c r="D22" s="13">
        <f>'6-CONTROLAR LA CALIDAD - RAP 2'!L22+2</f>
        <v>46132</v>
      </c>
      <c r="E22" s="14"/>
      <c r="F22" s="14">
        <f t="shared" si="0"/>
        <v>46134</v>
      </c>
      <c r="G22" s="14"/>
      <c r="H22" s="14">
        <f t="shared" si="1"/>
        <v>46135</v>
      </c>
      <c r="I22" s="14"/>
      <c r="J22" s="14">
        <f t="shared" si="2"/>
        <v>46136</v>
      </c>
      <c r="K22" s="14"/>
      <c r="L22" s="14">
        <f t="shared" si="3"/>
        <v>46137</v>
      </c>
      <c r="M22" s="18"/>
    </row>
    <row r="23" spans="1:14" x14ac:dyDescent="0.2">
      <c r="A23" s="4">
        <v>12</v>
      </c>
      <c r="B23" s="24">
        <v>1103672243</v>
      </c>
      <c r="C23" s="12" t="s">
        <v>28</v>
      </c>
      <c r="D23" s="13">
        <f>'6-CONTROLAR LA CALIDAD - RAP 2'!L23+2</f>
        <v>46132</v>
      </c>
      <c r="E23" s="14"/>
      <c r="F23" s="14">
        <f t="shared" si="0"/>
        <v>46134</v>
      </c>
      <c r="G23" s="14"/>
      <c r="H23" s="14">
        <f t="shared" si="1"/>
        <v>46135</v>
      </c>
      <c r="I23" s="14"/>
      <c r="J23" s="14">
        <f t="shared" si="2"/>
        <v>46136</v>
      </c>
      <c r="K23" s="14"/>
      <c r="L23" s="14">
        <f t="shared" si="3"/>
        <v>46137</v>
      </c>
      <c r="M23" s="18"/>
    </row>
    <row r="24" spans="1:14" x14ac:dyDescent="0.2">
      <c r="A24" s="4">
        <v>13</v>
      </c>
      <c r="B24" s="24">
        <v>1004945055</v>
      </c>
      <c r="C24" s="12" t="s">
        <v>29</v>
      </c>
      <c r="D24" s="13">
        <f>'6-CONTROLAR LA CALIDAD - RAP 2'!L24+2</f>
        <v>46132</v>
      </c>
      <c r="E24" s="14"/>
      <c r="F24" s="14">
        <f t="shared" si="0"/>
        <v>46134</v>
      </c>
      <c r="G24" s="14"/>
      <c r="H24" s="14">
        <f t="shared" si="1"/>
        <v>46135</v>
      </c>
      <c r="I24" s="14"/>
      <c r="J24" s="14">
        <f t="shared" si="2"/>
        <v>46136</v>
      </c>
      <c r="K24" s="14"/>
      <c r="L24" s="14">
        <f t="shared" si="3"/>
        <v>46137</v>
      </c>
      <c r="M24" s="18"/>
    </row>
    <row r="25" spans="1:14" x14ac:dyDescent="0.2">
      <c r="A25" s="4">
        <v>14</v>
      </c>
      <c r="B25" s="24">
        <v>1005373507</v>
      </c>
      <c r="C25" s="12" t="s">
        <v>30</v>
      </c>
      <c r="D25" s="13">
        <f>'6-CONTROLAR LA CALIDAD - RAP 2'!L25+2</f>
        <v>46132</v>
      </c>
      <c r="E25" s="14"/>
      <c r="F25" s="14">
        <f t="shared" si="0"/>
        <v>46134</v>
      </c>
      <c r="G25" s="14"/>
      <c r="H25" s="14">
        <f t="shared" si="1"/>
        <v>46135</v>
      </c>
      <c r="I25" s="14"/>
      <c r="J25" s="14">
        <f t="shared" si="2"/>
        <v>46136</v>
      </c>
      <c r="K25" s="14"/>
      <c r="L25" s="14">
        <f t="shared" si="3"/>
        <v>46137</v>
      </c>
      <c r="M25" s="18"/>
    </row>
    <row r="26" spans="1:14" s="9" customFormat="1" ht="10.8" thickBot="1" x14ac:dyDescent="0.25">
      <c r="A26" s="19">
        <v>15</v>
      </c>
      <c r="B26" s="25">
        <v>1099736902</v>
      </c>
      <c r="C26" s="20" t="s">
        <v>31</v>
      </c>
      <c r="D26" s="21">
        <f>'6-CONTROLAR LA CALIDAD - RAP 2'!L26+2</f>
        <v>46132</v>
      </c>
      <c r="E26" s="22"/>
      <c r="F26" s="22">
        <f t="shared" si="0"/>
        <v>46134</v>
      </c>
      <c r="G26" s="22"/>
      <c r="H26" s="22">
        <f t="shared" si="1"/>
        <v>46135</v>
      </c>
      <c r="I26" s="22"/>
      <c r="J26" s="22">
        <f t="shared" si="2"/>
        <v>46136</v>
      </c>
      <c r="K26" s="22"/>
      <c r="L26" s="22">
        <f t="shared" si="3"/>
        <v>46137</v>
      </c>
      <c r="M26" s="23"/>
      <c r="N26" s="15"/>
    </row>
  </sheetData>
  <mergeCells count="19">
    <mergeCell ref="H10:I10"/>
    <mergeCell ref="J10:K10"/>
    <mergeCell ref="L10:M10"/>
    <mergeCell ref="A8:B8"/>
    <mergeCell ref="C8:M8"/>
    <mergeCell ref="A9:C10"/>
    <mergeCell ref="D9:E9"/>
    <mergeCell ref="F9:G9"/>
    <mergeCell ref="H9:I9"/>
    <mergeCell ref="J9:K9"/>
    <mergeCell ref="L9:M9"/>
    <mergeCell ref="D10:E10"/>
    <mergeCell ref="F10:G10"/>
    <mergeCell ref="A1:M5"/>
    <mergeCell ref="C6:D6"/>
    <mergeCell ref="G6:H6"/>
    <mergeCell ref="I6:M6"/>
    <mergeCell ref="A7:B7"/>
    <mergeCell ref="C7:M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D9CBF-1241-403C-ADE1-B06C8160FD48}">
  <dimension ref="A1:O25"/>
  <sheetViews>
    <sheetView topLeftCell="A4" zoomScale="120" zoomScaleNormal="120" workbookViewId="0">
      <selection activeCell="P9" sqref="P9"/>
    </sheetView>
  </sheetViews>
  <sheetFormatPr baseColWidth="10" defaultColWidth="11.44140625" defaultRowHeight="10.199999999999999" x14ac:dyDescent="0.2"/>
  <cols>
    <col min="1" max="1" width="5" style="1" bestFit="1" customWidth="1"/>
    <col min="2" max="2" width="9.5546875" style="3" bestFit="1" customWidth="1"/>
    <col min="3" max="3" width="30.109375" style="3" bestFit="1" customWidth="1"/>
    <col min="4" max="4" width="8.5546875" style="1" customWidth="1"/>
    <col min="5" max="5" width="5.6640625" style="1" customWidth="1"/>
    <col min="6" max="6" width="8.5546875" style="1" customWidth="1"/>
    <col min="7" max="7" width="5.6640625" style="1" customWidth="1"/>
    <col min="8" max="8" width="8.5546875" style="1" customWidth="1"/>
    <col min="9" max="9" width="5.6640625" style="1" customWidth="1"/>
    <col min="10" max="10" width="8.5546875" style="1" customWidth="1"/>
    <col min="11" max="11" width="5.6640625" style="1" customWidth="1"/>
    <col min="12" max="12" width="8.5546875" style="1" customWidth="1"/>
    <col min="13" max="13" width="5.6640625" style="1" customWidth="1"/>
    <col min="14" max="16384" width="11.44140625" style="1"/>
  </cols>
  <sheetData>
    <row r="1" spans="1:15" ht="11.25" customHeight="1" x14ac:dyDescent="0.2">
      <c r="A1" s="76"/>
      <c r="B1" s="107"/>
      <c r="C1" s="107" t="s">
        <v>37</v>
      </c>
      <c r="D1" s="107"/>
      <c r="E1" s="107"/>
      <c r="F1" s="107"/>
      <c r="G1" s="107"/>
      <c r="H1" s="107"/>
      <c r="I1" s="107"/>
      <c r="J1" s="107"/>
      <c r="K1" s="107"/>
      <c r="L1" s="107"/>
      <c r="M1" s="108"/>
    </row>
    <row r="2" spans="1:15" ht="15" customHeight="1" x14ac:dyDescent="0.2">
      <c r="A2" s="79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1:15" ht="15" customHeight="1" x14ac:dyDescent="0.2">
      <c r="A3" s="7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10"/>
    </row>
    <row r="4" spans="1:15" ht="15" customHeight="1" thickBot="1" x14ac:dyDescent="0.25">
      <c r="A4" s="111"/>
      <c r="B4" s="112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10"/>
    </row>
    <row r="5" spans="1:15" ht="15" thickBot="1" x14ac:dyDescent="0.35">
      <c r="A5" s="5" t="s">
        <v>0</v>
      </c>
      <c r="B5" s="6">
        <v>2993128</v>
      </c>
      <c r="C5" s="86" t="s">
        <v>9</v>
      </c>
      <c r="D5" s="86"/>
      <c r="E5" s="10" t="s">
        <v>1</v>
      </c>
      <c r="F5" s="11" t="s">
        <v>33</v>
      </c>
      <c r="G5" s="87" t="s">
        <v>10</v>
      </c>
      <c r="H5" s="87"/>
      <c r="I5" s="88" t="s">
        <v>32</v>
      </c>
      <c r="J5" s="88"/>
      <c r="K5" s="88"/>
      <c r="L5" s="88"/>
      <c r="M5" s="89"/>
      <c r="O5"/>
    </row>
    <row r="6" spans="1:15" ht="10.8" thickBot="1" x14ac:dyDescent="0.25">
      <c r="A6" s="90" t="s">
        <v>2</v>
      </c>
      <c r="B6" s="91"/>
      <c r="C6" s="92" t="s">
        <v>38</v>
      </c>
      <c r="D6" s="92"/>
      <c r="E6" s="92"/>
      <c r="F6" s="92"/>
      <c r="G6" s="92"/>
      <c r="H6" s="92"/>
      <c r="I6" s="92"/>
      <c r="J6" s="92"/>
      <c r="K6" s="92"/>
      <c r="L6" s="92"/>
      <c r="M6" s="93"/>
    </row>
    <row r="7" spans="1:15" ht="23.25" customHeight="1" thickBot="1" x14ac:dyDescent="0.25">
      <c r="A7" s="90" t="s">
        <v>35</v>
      </c>
      <c r="B7" s="98"/>
      <c r="C7" s="99" t="s">
        <v>41</v>
      </c>
      <c r="D7" s="91"/>
      <c r="E7" s="91"/>
      <c r="F7" s="91"/>
      <c r="G7" s="91"/>
      <c r="H7" s="91"/>
      <c r="I7" s="91"/>
      <c r="J7" s="91"/>
      <c r="K7" s="91"/>
      <c r="L7" s="91"/>
      <c r="M7" s="100"/>
    </row>
    <row r="8" spans="1:15" x14ac:dyDescent="0.2">
      <c r="A8" s="101" t="s">
        <v>3</v>
      </c>
      <c r="B8" s="102"/>
      <c r="C8" s="102"/>
      <c r="D8" s="105" t="s">
        <v>11</v>
      </c>
      <c r="E8" s="105"/>
      <c r="F8" s="105" t="s">
        <v>12</v>
      </c>
      <c r="G8" s="105"/>
      <c r="H8" s="105" t="s">
        <v>13</v>
      </c>
      <c r="I8" s="105"/>
      <c r="J8" s="105" t="s">
        <v>14</v>
      </c>
      <c r="K8" s="105"/>
      <c r="L8" s="105" t="s">
        <v>15</v>
      </c>
      <c r="M8" s="106"/>
    </row>
    <row r="9" spans="1:15" s="2" customFormat="1" ht="76.5" customHeight="1" thickBot="1" x14ac:dyDescent="0.25">
      <c r="A9" s="103"/>
      <c r="B9" s="104"/>
      <c r="C9" s="104"/>
      <c r="D9" s="94" t="s">
        <v>99</v>
      </c>
      <c r="E9" s="94"/>
      <c r="F9" s="94" t="s">
        <v>100</v>
      </c>
      <c r="G9" s="94"/>
      <c r="H9" s="94" t="s">
        <v>98</v>
      </c>
      <c r="I9" s="94"/>
      <c r="J9" s="95" t="s">
        <v>101</v>
      </c>
      <c r="K9" s="95"/>
      <c r="L9" s="96" t="s">
        <v>48</v>
      </c>
      <c r="M9" s="97"/>
    </row>
    <row r="10" spans="1:15" ht="15.75" customHeight="1" thickBot="1" x14ac:dyDescent="0.25">
      <c r="A10" s="50" t="s">
        <v>4</v>
      </c>
      <c r="B10" s="51" t="s">
        <v>5</v>
      </c>
      <c r="C10" s="52" t="s">
        <v>6</v>
      </c>
      <c r="D10" s="36" t="s">
        <v>7</v>
      </c>
      <c r="E10" s="36" t="s">
        <v>8</v>
      </c>
      <c r="F10" s="36" t="s">
        <v>7</v>
      </c>
      <c r="G10" s="36" t="s">
        <v>8</v>
      </c>
      <c r="H10" s="36" t="s">
        <v>7</v>
      </c>
      <c r="I10" s="36" t="s">
        <v>8</v>
      </c>
      <c r="J10" s="36" t="s">
        <v>7</v>
      </c>
      <c r="K10" s="36" t="s">
        <v>8</v>
      </c>
      <c r="L10" s="36" t="s">
        <v>7</v>
      </c>
      <c r="M10" s="37" t="s">
        <v>8</v>
      </c>
    </row>
    <row r="11" spans="1:15" x14ac:dyDescent="0.2">
      <c r="A11" s="53">
        <v>1</v>
      </c>
      <c r="B11" s="54">
        <v>1098805906</v>
      </c>
      <c r="C11" s="55" t="s">
        <v>17</v>
      </c>
      <c r="D11" s="56">
        <f>'7-CONTROLAR LA CALIDAD - RAP 1'!L12+2</f>
        <v>46139</v>
      </c>
      <c r="E11" s="39"/>
      <c r="F11" s="39">
        <f>D11+20</f>
        <v>46159</v>
      </c>
      <c r="G11" s="39"/>
      <c r="H11" s="39">
        <f>F11+1</f>
        <v>46160</v>
      </c>
      <c r="I11" s="39"/>
      <c r="J11" s="39">
        <f>H11+2</f>
        <v>46162</v>
      </c>
      <c r="K11" s="39"/>
      <c r="L11" s="39">
        <f>J11+2</f>
        <v>46164</v>
      </c>
      <c r="M11" s="40"/>
    </row>
    <row r="12" spans="1:15" x14ac:dyDescent="0.2">
      <c r="A12" s="4">
        <v>2</v>
      </c>
      <c r="B12" s="24">
        <v>1095838804</v>
      </c>
      <c r="C12" s="12" t="s">
        <v>18</v>
      </c>
      <c r="D12" s="13">
        <f>'7-CONTROLAR LA CALIDAD - RAP 1'!L13+2</f>
        <v>46139</v>
      </c>
      <c r="E12" s="14"/>
      <c r="F12" s="14">
        <f t="shared" ref="F12:F25" si="0">D12+20</f>
        <v>46159</v>
      </c>
      <c r="G12" s="14"/>
      <c r="H12" s="14">
        <f t="shared" ref="H12:H25" si="1">F12+1</f>
        <v>46160</v>
      </c>
      <c r="I12" s="14"/>
      <c r="J12" s="14">
        <f t="shared" ref="J12:J25" si="2">H12+2</f>
        <v>46162</v>
      </c>
      <c r="K12" s="14"/>
      <c r="L12" s="14">
        <f t="shared" ref="L12:L25" si="3">J12+2</f>
        <v>46164</v>
      </c>
      <c r="M12" s="18"/>
    </row>
    <row r="13" spans="1:15" x14ac:dyDescent="0.2">
      <c r="A13" s="4">
        <v>3</v>
      </c>
      <c r="B13" s="24">
        <v>1050547441</v>
      </c>
      <c r="C13" s="12" t="s">
        <v>19</v>
      </c>
      <c r="D13" s="13">
        <f>'7-CONTROLAR LA CALIDAD - RAP 1'!L14+2</f>
        <v>46139</v>
      </c>
      <c r="E13" s="14"/>
      <c r="F13" s="14">
        <f t="shared" si="0"/>
        <v>46159</v>
      </c>
      <c r="G13" s="14"/>
      <c r="H13" s="14">
        <f t="shared" si="1"/>
        <v>46160</v>
      </c>
      <c r="I13" s="14"/>
      <c r="J13" s="14">
        <f t="shared" si="2"/>
        <v>46162</v>
      </c>
      <c r="K13" s="14"/>
      <c r="L13" s="14">
        <f t="shared" si="3"/>
        <v>46164</v>
      </c>
      <c r="M13" s="18"/>
    </row>
    <row r="14" spans="1:15" x14ac:dyDescent="0.2">
      <c r="A14" s="4">
        <v>4</v>
      </c>
      <c r="B14" s="24">
        <v>1095814477</v>
      </c>
      <c r="C14" s="12" t="s">
        <v>20</v>
      </c>
      <c r="D14" s="13">
        <f>'7-CONTROLAR LA CALIDAD - RAP 1'!L15+2</f>
        <v>46139</v>
      </c>
      <c r="E14" s="14"/>
      <c r="F14" s="14">
        <f t="shared" si="0"/>
        <v>46159</v>
      </c>
      <c r="G14" s="14"/>
      <c r="H14" s="14">
        <f t="shared" si="1"/>
        <v>46160</v>
      </c>
      <c r="I14" s="14"/>
      <c r="J14" s="14">
        <f t="shared" si="2"/>
        <v>46162</v>
      </c>
      <c r="K14" s="14"/>
      <c r="L14" s="14">
        <f t="shared" si="3"/>
        <v>46164</v>
      </c>
      <c r="M14" s="18"/>
    </row>
    <row r="15" spans="1:15" x14ac:dyDescent="0.2">
      <c r="A15" s="4">
        <v>5</v>
      </c>
      <c r="B15" s="24">
        <v>1004912749</v>
      </c>
      <c r="C15" s="12" t="s">
        <v>21</v>
      </c>
      <c r="D15" s="13">
        <f>'7-CONTROLAR LA CALIDAD - RAP 1'!L16+2</f>
        <v>46139</v>
      </c>
      <c r="E15" s="14"/>
      <c r="F15" s="14">
        <f t="shared" si="0"/>
        <v>46159</v>
      </c>
      <c r="G15" s="14"/>
      <c r="H15" s="14">
        <f t="shared" si="1"/>
        <v>46160</v>
      </c>
      <c r="I15" s="14"/>
      <c r="J15" s="14">
        <f t="shared" si="2"/>
        <v>46162</v>
      </c>
      <c r="K15" s="14"/>
      <c r="L15" s="14">
        <f t="shared" si="3"/>
        <v>46164</v>
      </c>
      <c r="M15" s="18"/>
    </row>
    <row r="16" spans="1:15" x14ac:dyDescent="0.2">
      <c r="A16" s="4">
        <v>6</v>
      </c>
      <c r="B16" s="24">
        <v>1097496752</v>
      </c>
      <c r="C16" s="12" t="s">
        <v>22</v>
      </c>
      <c r="D16" s="13">
        <f>'7-CONTROLAR LA CALIDAD - RAP 1'!L17+2</f>
        <v>46139</v>
      </c>
      <c r="E16" s="14"/>
      <c r="F16" s="14">
        <f t="shared" si="0"/>
        <v>46159</v>
      </c>
      <c r="G16" s="14"/>
      <c r="H16" s="14">
        <f t="shared" si="1"/>
        <v>46160</v>
      </c>
      <c r="I16" s="14"/>
      <c r="J16" s="14">
        <f t="shared" si="2"/>
        <v>46162</v>
      </c>
      <c r="K16" s="14"/>
      <c r="L16" s="14">
        <f t="shared" si="3"/>
        <v>46164</v>
      </c>
      <c r="M16" s="18"/>
    </row>
    <row r="17" spans="1:14" x14ac:dyDescent="0.2">
      <c r="A17" s="4">
        <v>7</v>
      </c>
      <c r="B17" s="24">
        <v>1097912512</v>
      </c>
      <c r="C17" s="12" t="s">
        <v>23</v>
      </c>
      <c r="D17" s="13">
        <f>'7-CONTROLAR LA CALIDAD - RAP 1'!L18+2</f>
        <v>46139</v>
      </c>
      <c r="E17" s="14"/>
      <c r="F17" s="14">
        <f t="shared" si="0"/>
        <v>46159</v>
      </c>
      <c r="G17" s="14"/>
      <c r="H17" s="14">
        <f t="shared" si="1"/>
        <v>46160</v>
      </c>
      <c r="I17" s="14"/>
      <c r="J17" s="14">
        <f t="shared" si="2"/>
        <v>46162</v>
      </c>
      <c r="K17" s="14"/>
      <c r="L17" s="14">
        <f t="shared" si="3"/>
        <v>46164</v>
      </c>
      <c r="M17" s="18"/>
    </row>
    <row r="18" spans="1:14" x14ac:dyDescent="0.2">
      <c r="A18" s="4">
        <v>8</v>
      </c>
      <c r="B18" s="24">
        <v>1007669080</v>
      </c>
      <c r="C18" s="12" t="s">
        <v>24</v>
      </c>
      <c r="D18" s="13">
        <f>'7-CONTROLAR LA CALIDAD - RAP 1'!L19+2</f>
        <v>46139</v>
      </c>
      <c r="E18" s="14"/>
      <c r="F18" s="14">
        <f t="shared" si="0"/>
        <v>46159</v>
      </c>
      <c r="G18" s="14"/>
      <c r="H18" s="14">
        <f t="shared" si="1"/>
        <v>46160</v>
      </c>
      <c r="I18" s="14"/>
      <c r="J18" s="14">
        <f t="shared" si="2"/>
        <v>46162</v>
      </c>
      <c r="K18" s="14"/>
      <c r="L18" s="14">
        <f t="shared" si="3"/>
        <v>46164</v>
      </c>
      <c r="M18" s="18"/>
    </row>
    <row r="19" spans="1:14" x14ac:dyDescent="0.2">
      <c r="A19" s="4">
        <v>9</v>
      </c>
      <c r="B19" s="24">
        <v>1097782785</v>
      </c>
      <c r="C19" s="12" t="s">
        <v>25</v>
      </c>
      <c r="D19" s="13">
        <f>'7-CONTROLAR LA CALIDAD - RAP 1'!L20+2</f>
        <v>46139</v>
      </c>
      <c r="E19" s="14"/>
      <c r="F19" s="14">
        <f t="shared" si="0"/>
        <v>46159</v>
      </c>
      <c r="G19" s="14"/>
      <c r="H19" s="14">
        <f t="shared" si="1"/>
        <v>46160</v>
      </c>
      <c r="I19" s="14"/>
      <c r="J19" s="14">
        <f t="shared" si="2"/>
        <v>46162</v>
      </c>
      <c r="K19" s="14"/>
      <c r="L19" s="14">
        <f t="shared" si="3"/>
        <v>46164</v>
      </c>
      <c r="M19" s="18"/>
    </row>
    <row r="20" spans="1:14" x14ac:dyDescent="0.2">
      <c r="A20" s="4">
        <v>10</v>
      </c>
      <c r="B20" s="24">
        <v>1005150095</v>
      </c>
      <c r="C20" s="12" t="s">
        <v>26</v>
      </c>
      <c r="D20" s="13">
        <f>'7-CONTROLAR LA CALIDAD - RAP 1'!L21+2</f>
        <v>46139</v>
      </c>
      <c r="E20" s="14"/>
      <c r="F20" s="14">
        <f t="shared" si="0"/>
        <v>46159</v>
      </c>
      <c r="G20" s="14"/>
      <c r="H20" s="14">
        <f t="shared" si="1"/>
        <v>46160</v>
      </c>
      <c r="I20" s="14"/>
      <c r="J20" s="14">
        <f t="shared" si="2"/>
        <v>46162</v>
      </c>
      <c r="K20" s="14"/>
      <c r="L20" s="14">
        <f t="shared" si="3"/>
        <v>46164</v>
      </c>
      <c r="M20" s="18"/>
    </row>
    <row r="21" spans="1:14" x14ac:dyDescent="0.2">
      <c r="A21" s="4">
        <v>11</v>
      </c>
      <c r="B21" s="24">
        <v>1102356440</v>
      </c>
      <c r="C21" s="12" t="s">
        <v>27</v>
      </c>
      <c r="D21" s="13">
        <f>'7-CONTROLAR LA CALIDAD - RAP 1'!L22+2</f>
        <v>46139</v>
      </c>
      <c r="E21" s="14"/>
      <c r="F21" s="14">
        <f t="shared" si="0"/>
        <v>46159</v>
      </c>
      <c r="G21" s="14"/>
      <c r="H21" s="14">
        <f t="shared" si="1"/>
        <v>46160</v>
      </c>
      <c r="I21" s="14"/>
      <c r="J21" s="14">
        <f t="shared" si="2"/>
        <v>46162</v>
      </c>
      <c r="K21" s="14"/>
      <c r="L21" s="14">
        <f t="shared" si="3"/>
        <v>46164</v>
      </c>
      <c r="M21" s="18"/>
    </row>
    <row r="22" spans="1:14" x14ac:dyDescent="0.2">
      <c r="A22" s="4">
        <v>12</v>
      </c>
      <c r="B22" s="24">
        <v>1103672243</v>
      </c>
      <c r="C22" s="12" t="s">
        <v>28</v>
      </c>
      <c r="D22" s="13">
        <f>'7-CONTROLAR LA CALIDAD - RAP 1'!L23+2</f>
        <v>46139</v>
      </c>
      <c r="E22" s="14"/>
      <c r="F22" s="14">
        <f t="shared" si="0"/>
        <v>46159</v>
      </c>
      <c r="G22" s="14"/>
      <c r="H22" s="14">
        <f t="shared" si="1"/>
        <v>46160</v>
      </c>
      <c r="I22" s="14"/>
      <c r="J22" s="14">
        <f t="shared" si="2"/>
        <v>46162</v>
      </c>
      <c r="K22" s="14"/>
      <c r="L22" s="14">
        <f t="shared" si="3"/>
        <v>46164</v>
      </c>
      <c r="M22" s="18"/>
    </row>
    <row r="23" spans="1:14" x14ac:dyDescent="0.2">
      <c r="A23" s="4">
        <v>13</v>
      </c>
      <c r="B23" s="24">
        <v>1004945055</v>
      </c>
      <c r="C23" s="12" t="s">
        <v>29</v>
      </c>
      <c r="D23" s="13">
        <f>'7-CONTROLAR LA CALIDAD - RAP 1'!L24+2</f>
        <v>46139</v>
      </c>
      <c r="E23" s="14"/>
      <c r="F23" s="14">
        <f t="shared" si="0"/>
        <v>46159</v>
      </c>
      <c r="G23" s="14"/>
      <c r="H23" s="14">
        <f t="shared" si="1"/>
        <v>46160</v>
      </c>
      <c r="I23" s="14"/>
      <c r="J23" s="14">
        <f t="shared" si="2"/>
        <v>46162</v>
      </c>
      <c r="K23" s="14"/>
      <c r="L23" s="14">
        <f t="shared" si="3"/>
        <v>46164</v>
      </c>
      <c r="M23" s="18"/>
    </row>
    <row r="24" spans="1:14" x14ac:dyDescent="0.2">
      <c r="A24" s="4">
        <v>14</v>
      </c>
      <c r="B24" s="24">
        <v>1005373507</v>
      </c>
      <c r="C24" s="12" t="s">
        <v>30</v>
      </c>
      <c r="D24" s="13">
        <f>'7-CONTROLAR LA CALIDAD - RAP 1'!L25+2</f>
        <v>46139</v>
      </c>
      <c r="E24" s="14"/>
      <c r="F24" s="14">
        <f t="shared" si="0"/>
        <v>46159</v>
      </c>
      <c r="G24" s="14"/>
      <c r="H24" s="14">
        <f t="shared" si="1"/>
        <v>46160</v>
      </c>
      <c r="I24" s="14"/>
      <c r="J24" s="14">
        <f t="shared" si="2"/>
        <v>46162</v>
      </c>
      <c r="K24" s="14"/>
      <c r="L24" s="14">
        <f t="shared" si="3"/>
        <v>46164</v>
      </c>
      <c r="M24" s="18"/>
    </row>
    <row r="25" spans="1:14" s="9" customFormat="1" ht="10.8" thickBot="1" x14ac:dyDescent="0.25">
      <c r="A25" s="19">
        <v>15</v>
      </c>
      <c r="B25" s="25">
        <v>1099736902</v>
      </c>
      <c r="C25" s="20" t="s">
        <v>31</v>
      </c>
      <c r="D25" s="21">
        <f>'7-CONTROLAR LA CALIDAD - RAP 1'!L26+2</f>
        <v>46139</v>
      </c>
      <c r="E25" s="22"/>
      <c r="F25" s="22">
        <f t="shared" si="0"/>
        <v>46159</v>
      </c>
      <c r="G25" s="22"/>
      <c r="H25" s="22">
        <f t="shared" si="1"/>
        <v>46160</v>
      </c>
      <c r="I25" s="22"/>
      <c r="J25" s="22">
        <f t="shared" si="2"/>
        <v>46162</v>
      </c>
      <c r="K25" s="22"/>
      <c r="L25" s="22">
        <f t="shared" si="3"/>
        <v>46164</v>
      </c>
      <c r="M25" s="23"/>
      <c r="N25" s="15"/>
    </row>
  </sheetData>
  <mergeCells count="20">
    <mergeCell ref="H9:I9"/>
    <mergeCell ref="J9:K9"/>
    <mergeCell ref="L9:M9"/>
    <mergeCell ref="A7:B7"/>
    <mergeCell ref="C7:M7"/>
    <mergeCell ref="A8:C9"/>
    <mergeCell ref="D8:E8"/>
    <mergeCell ref="F8:G8"/>
    <mergeCell ref="H8:I8"/>
    <mergeCell ref="J8:K8"/>
    <mergeCell ref="L8:M8"/>
    <mergeCell ref="D9:E9"/>
    <mergeCell ref="F9:G9"/>
    <mergeCell ref="G5:H5"/>
    <mergeCell ref="I5:M5"/>
    <mergeCell ref="A6:B6"/>
    <mergeCell ref="C6:M6"/>
    <mergeCell ref="C1:M4"/>
    <mergeCell ref="A1:B4"/>
    <mergeCell ref="C5:D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DE830-63A6-4ECB-B97B-C2223223DA7B}">
  <dimension ref="A1:E26"/>
  <sheetViews>
    <sheetView workbookViewId="0">
      <selection activeCell="E26" sqref="E2:E26"/>
    </sheetView>
  </sheetViews>
  <sheetFormatPr baseColWidth="10" defaultColWidth="11.44140625" defaultRowHeight="10.199999999999999" x14ac:dyDescent="0.3"/>
  <cols>
    <col min="1" max="1" width="1.88671875" style="26" bestFit="1" customWidth="1"/>
    <col min="2" max="2" width="53.5546875" style="26" bestFit="1" customWidth="1"/>
    <col min="3" max="3" width="6" style="26" bestFit="1" customWidth="1"/>
    <col min="4" max="4" width="38.5546875" style="26" customWidth="1"/>
    <col min="5" max="5" width="54.5546875" style="26" customWidth="1"/>
    <col min="6" max="16384" width="11.44140625" style="26"/>
  </cols>
  <sheetData>
    <row r="1" spans="1:5" ht="10.8" thickBot="1" x14ac:dyDescent="0.35">
      <c r="A1" s="58" t="s">
        <v>65</v>
      </c>
      <c r="B1" s="59" t="s">
        <v>63</v>
      </c>
      <c r="C1" s="59" t="s">
        <v>92</v>
      </c>
      <c r="D1" s="60" t="s">
        <v>64</v>
      </c>
      <c r="E1" s="61" t="s">
        <v>66</v>
      </c>
    </row>
    <row r="2" spans="1:5" x14ac:dyDescent="0.3">
      <c r="A2" s="126">
        <v>1</v>
      </c>
      <c r="B2" s="120" t="s">
        <v>34</v>
      </c>
      <c r="C2" s="113">
        <v>3</v>
      </c>
      <c r="D2" s="123" t="s">
        <v>36</v>
      </c>
      <c r="E2" s="30" t="s">
        <v>70</v>
      </c>
    </row>
    <row r="3" spans="1:5" ht="15" customHeight="1" x14ac:dyDescent="0.3">
      <c r="A3" s="127"/>
      <c r="B3" s="121"/>
      <c r="C3" s="114"/>
      <c r="D3" s="124"/>
      <c r="E3" s="31" t="s">
        <v>71</v>
      </c>
    </row>
    <row r="4" spans="1:5" ht="15" customHeight="1" x14ac:dyDescent="0.3">
      <c r="A4" s="127"/>
      <c r="B4" s="121"/>
      <c r="C4" s="114"/>
      <c r="D4" s="124"/>
      <c r="E4" s="31" t="s">
        <v>72</v>
      </c>
    </row>
    <row r="5" spans="1:5" ht="15.75" customHeight="1" thickBot="1" x14ac:dyDescent="0.35">
      <c r="A5" s="128"/>
      <c r="B5" s="122"/>
      <c r="C5" s="116"/>
      <c r="D5" s="125"/>
      <c r="E5" s="32" t="s">
        <v>73</v>
      </c>
    </row>
    <row r="6" spans="1:5" x14ac:dyDescent="0.3">
      <c r="A6" s="126">
        <v>2</v>
      </c>
      <c r="B6" s="113" t="s">
        <v>42</v>
      </c>
      <c r="C6" s="113">
        <v>3</v>
      </c>
      <c r="D6" s="118" t="s">
        <v>45</v>
      </c>
      <c r="E6" s="33" t="s">
        <v>67</v>
      </c>
    </row>
    <row r="7" spans="1:5" x14ac:dyDescent="0.3">
      <c r="A7" s="127"/>
      <c r="B7" s="114"/>
      <c r="C7" s="114"/>
      <c r="D7" s="118"/>
      <c r="E7" s="28" t="s">
        <v>68</v>
      </c>
    </row>
    <row r="8" spans="1:5" ht="10.8" thickBot="1" x14ac:dyDescent="0.35">
      <c r="A8" s="127"/>
      <c r="B8" s="114"/>
      <c r="C8" s="114"/>
      <c r="D8" s="119"/>
      <c r="E8" s="29" t="s">
        <v>69</v>
      </c>
    </row>
    <row r="9" spans="1:5" ht="20.399999999999999" x14ac:dyDescent="0.3">
      <c r="A9" s="127"/>
      <c r="B9" s="114"/>
      <c r="C9" s="114">
        <v>2</v>
      </c>
      <c r="D9" s="117" t="s">
        <v>44</v>
      </c>
      <c r="E9" s="27" t="s">
        <v>74</v>
      </c>
    </row>
    <row r="10" spans="1:5" ht="20.399999999999999" x14ac:dyDescent="0.3">
      <c r="A10" s="127"/>
      <c r="B10" s="114"/>
      <c r="C10" s="114"/>
      <c r="D10" s="118"/>
      <c r="E10" s="28" t="s">
        <v>75</v>
      </c>
    </row>
    <row r="11" spans="1:5" x14ac:dyDescent="0.3">
      <c r="A11" s="127"/>
      <c r="B11" s="114"/>
      <c r="C11" s="114"/>
      <c r="D11" s="118"/>
      <c r="E11" s="28" t="s">
        <v>76</v>
      </c>
    </row>
    <row r="12" spans="1:5" ht="10.8" thickBot="1" x14ac:dyDescent="0.35">
      <c r="A12" s="127"/>
      <c r="B12" s="114"/>
      <c r="C12" s="114"/>
      <c r="D12" s="119"/>
      <c r="E12" s="29" t="s">
        <v>77</v>
      </c>
    </row>
    <row r="13" spans="1:5" ht="20.399999999999999" x14ac:dyDescent="0.3">
      <c r="A13" s="127"/>
      <c r="B13" s="114"/>
      <c r="C13" s="114">
        <v>1</v>
      </c>
      <c r="D13" s="117" t="s">
        <v>43</v>
      </c>
      <c r="E13" s="27" t="s">
        <v>78</v>
      </c>
    </row>
    <row r="14" spans="1:5" ht="20.399999999999999" x14ac:dyDescent="0.3">
      <c r="A14" s="127"/>
      <c r="B14" s="114"/>
      <c r="C14" s="114"/>
      <c r="D14" s="118"/>
      <c r="E14" s="28" t="s">
        <v>79</v>
      </c>
    </row>
    <row r="15" spans="1:5" ht="10.8" thickBot="1" x14ac:dyDescent="0.35">
      <c r="A15" s="127"/>
      <c r="B15" s="114"/>
      <c r="C15" s="114"/>
      <c r="D15" s="119"/>
      <c r="E15" s="29" t="s">
        <v>80</v>
      </c>
    </row>
    <row r="16" spans="1:5" ht="20.399999999999999" x14ac:dyDescent="0.3">
      <c r="A16" s="127"/>
      <c r="B16" s="114"/>
      <c r="C16" s="114">
        <v>4</v>
      </c>
      <c r="D16" s="117" t="s">
        <v>46</v>
      </c>
      <c r="E16" s="27" t="s">
        <v>81</v>
      </c>
    </row>
    <row r="17" spans="1:5" ht="20.399999999999999" x14ac:dyDescent="0.3">
      <c r="A17" s="127"/>
      <c r="B17" s="114"/>
      <c r="C17" s="114"/>
      <c r="D17" s="118"/>
      <c r="E17" s="28" t="s">
        <v>82</v>
      </c>
    </row>
    <row r="18" spans="1:5" ht="21" thickBot="1" x14ac:dyDescent="0.35">
      <c r="A18" s="127"/>
      <c r="B18" s="115"/>
      <c r="C18" s="115"/>
      <c r="D18" s="119"/>
      <c r="E18" s="29" t="s">
        <v>83</v>
      </c>
    </row>
    <row r="19" spans="1:5" ht="20.399999999999999" x14ac:dyDescent="0.3">
      <c r="A19" s="127">
        <v>3</v>
      </c>
      <c r="B19" s="130" t="s">
        <v>38</v>
      </c>
      <c r="C19" s="130">
        <v>2</v>
      </c>
      <c r="D19" s="117" t="s">
        <v>40</v>
      </c>
      <c r="E19" s="27" t="s">
        <v>84</v>
      </c>
    </row>
    <row r="20" spans="1:5" ht="21" thickBot="1" x14ac:dyDescent="0.35">
      <c r="A20" s="127"/>
      <c r="B20" s="114"/>
      <c r="C20" s="114"/>
      <c r="D20" s="119"/>
      <c r="E20" s="29" t="s">
        <v>85</v>
      </c>
    </row>
    <row r="21" spans="1:5" ht="15" customHeight="1" x14ac:dyDescent="0.3">
      <c r="A21" s="127"/>
      <c r="B21" s="114"/>
      <c r="C21" s="114">
        <v>3</v>
      </c>
      <c r="D21" s="117" t="s">
        <v>41</v>
      </c>
      <c r="E21" s="27" t="s">
        <v>86</v>
      </c>
    </row>
    <row r="22" spans="1:5" ht="21" thickBot="1" x14ac:dyDescent="0.35">
      <c r="A22" s="127"/>
      <c r="B22" s="114"/>
      <c r="C22" s="114"/>
      <c r="D22" s="119"/>
      <c r="E22" s="29" t="s">
        <v>87</v>
      </c>
    </row>
    <row r="23" spans="1:5" ht="15" customHeight="1" x14ac:dyDescent="0.3">
      <c r="A23" s="127"/>
      <c r="B23" s="114"/>
      <c r="C23" s="114">
        <v>1</v>
      </c>
      <c r="D23" s="117" t="s">
        <v>39</v>
      </c>
      <c r="E23" s="27" t="s">
        <v>88</v>
      </c>
    </row>
    <row r="24" spans="1:5" ht="20.399999999999999" x14ac:dyDescent="0.3">
      <c r="A24" s="127"/>
      <c r="B24" s="114"/>
      <c r="C24" s="114"/>
      <c r="D24" s="118"/>
      <c r="E24" s="28" t="s">
        <v>89</v>
      </c>
    </row>
    <row r="25" spans="1:5" ht="20.399999999999999" x14ac:dyDescent="0.3">
      <c r="A25" s="127"/>
      <c r="B25" s="114"/>
      <c r="C25" s="114"/>
      <c r="D25" s="118"/>
      <c r="E25" s="28" t="s">
        <v>90</v>
      </c>
    </row>
    <row r="26" spans="1:5" ht="15.75" customHeight="1" thickBot="1" x14ac:dyDescent="0.35">
      <c r="A26" s="128"/>
      <c r="B26" s="116"/>
      <c r="C26" s="116"/>
      <c r="D26" s="129"/>
      <c r="E26" s="57" t="s">
        <v>91</v>
      </c>
    </row>
  </sheetData>
  <mergeCells count="22">
    <mergeCell ref="B2:B5"/>
    <mergeCell ref="D2:D5"/>
    <mergeCell ref="A2:A5"/>
    <mergeCell ref="A6:A18"/>
    <mergeCell ref="A19:A26"/>
    <mergeCell ref="C2:C5"/>
    <mergeCell ref="C6:C8"/>
    <mergeCell ref="C13:C15"/>
    <mergeCell ref="C9:C12"/>
    <mergeCell ref="C16:C18"/>
    <mergeCell ref="D23:D26"/>
    <mergeCell ref="D19:D20"/>
    <mergeCell ref="D21:D22"/>
    <mergeCell ref="B19:B26"/>
    <mergeCell ref="C19:C20"/>
    <mergeCell ref="C21:C22"/>
    <mergeCell ref="B6:B18"/>
    <mergeCell ref="C23:C26"/>
    <mergeCell ref="D13:D15"/>
    <mergeCell ref="D9:D12"/>
    <mergeCell ref="D6:D8"/>
    <mergeCell ref="D16:D1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C1F97-E24F-46E2-BA0B-9C5E79FD25A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PROYECTOS</vt:lpstr>
      <vt:lpstr>1-IMPLEMENTACIÓN - RAP 1</vt:lpstr>
      <vt:lpstr>2-DESARROLLAR SOLUCIÓN - RAP 3</vt:lpstr>
      <vt:lpstr>3-IMPLEMENTACIÓN - RAP 2</vt:lpstr>
      <vt:lpstr>4-IMPLEMENTACIÓN - RAP 3</vt:lpstr>
      <vt:lpstr>5-IMPLEMENTACIÓN - RAP 4</vt:lpstr>
      <vt:lpstr>6-CONTROLAR LA CALIDAD - RAP 2</vt:lpstr>
      <vt:lpstr>7-CONTROLAR LA CALIDAD - RAP 1</vt:lpstr>
      <vt:lpstr>8-CONTROLAR LA CALIDAD - RAP 3</vt:lpstr>
      <vt:lpstr>PLAN RAPS ÚLTIMO TRIMESTRE ADSO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Kiovanna Margarita Villegas Gonzalez</dc:creator>
  <cp:keywords/>
  <dc:description/>
  <cp:lastModifiedBy>Instructor</cp:lastModifiedBy>
  <cp:revision/>
  <dcterms:created xsi:type="dcterms:W3CDTF">2023-06-16T15:28:03Z</dcterms:created>
  <dcterms:modified xsi:type="dcterms:W3CDTF">2026-02-11T01:38:12Z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2023-06-16T15:49:46Z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40c2b273-b3a8-44aa-8b3d-2f6c258be0a9</vt:lpwstr>
  </property>
  <property fmtid="{D5CDD505-2E9C-101B-9397-08002B2CF9AE}" pid="8" name="MSIP_Label_1299739c-ad3d-4908-806e-4d91151a6e13_ContentBits">
    <vt:lpwstr>0</vt:lpwstr>
  </property>
</Properties>
</file>