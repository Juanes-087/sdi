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UANES\Desktop\OTROS ADSO\adso\expo (TODO AQUI)\documentacion\"/>
    </mc:Choice>
  </mc:AlternateContent>
  <xr:revisionPtr revIDLastSave="0" documentId="13_ncr:1_{3B7EFBAF-19DB-4728-A03E-33799BA17AB1}" xr6:coauthVersionLast="47" xr6:coauthVersionMax="47" xr10:uidLastSave="{00000000-0000-0000-0000-000000000000}"/>
  <bookViews>
    <workbookView xWindow="-120" yWindow="-120" windowWidth="29040" windowHeight="15840" firstSheet="7" activeTab="8" xr2:uid="{00000000-000D-0000-FFFF-FFFF00000000}"/>
  </bookViews>
  <sheets>
    <sheet name="GENERAL" sheetId="1" r:id="rId1"/>
    <sheet name="REQ. USUARIO" sheetId="2" r:id="rId2"/>
    <sheet name="REQ. FUN. GEN" sheetId="3" r:id="rId3"/>
    <sheet name="REQ. NO FUN. GEN" sheetId="4" r:id="rId4"/>
    <sheet name="REQ. FUN" sheetId="5" r:id="rId5"/>
    <sheet name="REQ. NO FUN" sheetId="6" r:id="rId6"/>
    <sheet name="PAG. WEB - Landing FUN." sheetId="7" r:id="rId7"/>
    <sheet name="PAG. WEB - Landing NO FUN." sheetId="8" r:id="rId8"/>
    <sheet name="Inicio de sesión FUN." sheetId="9" r:id="rId9"/>
    <sheet name="Inicio de sesión NO FUN." sheetId="10" r:id="rId10"/>
    <sheet name="Registro FUN." sheetId="11" r:id="rId11"/>
    <sheet name="Registro NO FUN." sheetId="12" r:id="rId12"/>
    <sheet name="Cliente Web FUN." sheetId="13" r:id="rId13"/>
    <sheet name="Cliente Web  NO FUN." sheetId="14" r:id="rId14"/>
    <sheet name="Panel Admin FUN." sheetId="15" r:id="rId15"/>
    <sheet name="Panel Admin NO FUN." sheetId="16" r:id="rId16"/>
    <sheet name="Instrumental FUN." sheetId="17" r:id="rId17"/>
    <sheet name="Instrumental NO FUN." sheetId="18" r:id="rId18"/>
    <sheet name="Materia prima FUN." sheetId="19" r:id="rId19"/>
    <sheet name="Materia prima NO FUN." sheetId="20" r:id="rId20"/>
    <sheet name="Productos FUN" sheetId="40" r:id="rId21"/>
    <sheet name="Productos NO FUN" sheetId="41" r:id="rId22"/>
    <sheet name="Finanzas FUN" sheetId="42" r:id="rId23"/>
    <sheet name="Finanzas NO FUN" sheetId="43" r:id="rId24"/>
    <sheet name="Historial FUN" sheetId="21" r:id="rId25"/>
    <sheet name="Historial NO FUN." sheetId="22" r:id="rId26"/>
    <sheet name="Facturación FUN." sheetId="25" r:id="rId27"/>
    <sheet name="Facturación NO FUN." sheetId="26" r:id="rId28"/>
    <sheet name="Clientes FUN" sheetId="23" r:id="rId29"/>
    <sheet name="Clientes NO FUN." sheetId="24" r:id="rId30"/>
    <sheet name="Gestión Usuarios FUN." sheetId="27" r:id="rId31"/>
    <sheet name="Gestión Usuarios NO FUN." sheetId="28" r:id="rId32"/>
    <sheet name="Permisos y Menús FUN." sheetId="29" r:id="rId33"/>
    <sheet name="Permisos y Menús NO FUN." sheetId="30" r:id="rId34"/>
    <sheet name="INVENTARIO TRANSACCIONAL" sheetId="39" r:id="rId35"/>
  </sheets>
  <definedNames>
    <definedName name="Requerimientos_Instrumental">'REQ. FUN. GEN'!$C$8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3" roundtripDataChecksum="xI83FSbMzff4pwqKa2JbpIu+NWZHISVUEasTJz8RbKQ="/>
    </ext>
  </extLst>
</workbook>
</file>

<file path=xl/calcChain.xml><?xml version="1.0" encoding="utf-8"?>
<calcChain xmlns="http://schemas.openxmlformats.org/spreadsheetml/2006/main">
  <c r="G11" i="4" l="1"/>
  <c r="F11" i="4"/>
  <c r="G10" i="4"/>
  <c r="F10" i="4"/>
  <c r="G11" i="3"/>
  <c r="G10" i="3"/>
  <c r="F11" i="3"/>
  <c r="F10" i="3"/>
  <c r="G18" i="4"/>
  <c r="F18" i="4"/>
  <c r="G17" i="4"/>
  <c r="F17" i="4"/>
  <c r="G14" i="4"/>
  <c r="F14" i="4"/>
  <c r="G13" i="4"/>
  <c r="F13" i="4"/>
  <c r="G12" i="4"/>
  <c r="F12" i="4"/>
  <c r="G9" i="4"/>
  <c r="F9" i="4"/>
  <c r="G8" i="4"/>
  <c r="F8" i="4"/>
  <c r="G7" i="4"/>
  <c r="F7" i="4"/>
  <c r="G6" i="4"/>
  <c r="F6" i="4"/>
  <c r="G5" i="4"/>
  <c r="F5" i="4"/>
  <c r="G4" i="4"/>
  <c r="F4" i="4"/>
  <c r="G3" i="4"/>
  <c r="F3" i="4"/>
  <c r="G18" i="3"/>
  <c r="F18" i="3"/>
  <c r="G17" i="3"/>
  <c r="F17" i="3"/>
  <c r="G14" i="3"/>
  <c r="F14" i="3"/>
  <c r="G13" i="3"/>
  <c r="F13" i="3"/>
  <c r="G12" i="3"/>
  <c r="F12" i="3"/>
  <c r="G9" i="3"/>
  <c r="F9" i="3"/>
  <c r="G8" i="3"/>
  <c r="F8" i="3"/>
  <c r="G7" i="3"/>
  <c r="F7" i="3"/>
  <c r="G6" i="3"/>
  <c r="F6" i="3"/>
  <c r="G5" i="3"/>
  <c r="F5" i="3"/>
  <c r="G4" i="3"/>
  <c r="F4" i="3"/>
  <c r="G3" i="3"/>
  <c r="F3" i="3"/>
  <c r="H6" i="2"/>
  <c r="G6" i="2"/>
  <c r="H4" i="2"/>
  <c r="G4" i="2"/>
  <c r="L8" i="3" l="1"/>
  <c r="G9" i="1" s="1"/>
  <c r="P8" i="3"/>
  <c r="H9" i="1" s="1"/>
  <c r="L8" i="4"/>
  <c r="G11" i="1" s="1"/>
  <c r="P8" i="4"/>
  <c r="H11" i="1" s="1"/>
  <c r="M8" i="2"/>
  <c r="Q8" i="2"/>
  <c r="H7" i="1" s="1"/>
  <c r="N11" i="3" l="1"/>
  <c r="F9" i="1" s="1"/>
  <c r="O11" i="2"/>
  <c r="F7" i="1" s="1"/>
  <c r="G7" i="1"/>
  <c r="N9" i="1" s="1"/>
  <c r="N11" i="4"/>
  <c r="F11" i="1" s="1"/>
  <c r="R9" i="1"/>
  <c r="J9" i="1" l="1"/>
  <c r="E14" i="1" s="1"/>
</calcChain>
</file>

<file path=xl/sharedStrings.xml><?xml version="1.0" encoding="utf-8"?>
<sst xmlns="http://schemas.openxmlformats.org/spreadsheetml/2006/main" count="2567" uniqueCount="1149">
  <si>
    <t>RESUMEN REQUERIMIENTOS</t>
  </si>
  <si>
    <t>TOTAL</t>
  </si>
  <si>
    <t>CUMPLE</t>
  </si>
  <si>
    <t>NO CUMPLE</t>
  </si>
  <si>
    <t>* Requisitos de usuario</t>
  </si>
  <si>
    <t>CUMPLIDOS</t>
  </si>
  <si>
    <t>NO CUMPLIDOS</t>
  </si>
  <si>
    <t>* Requisitos funcionales</t>
  </si>
  <si>
    <t>* Requisitos no funcionales</t>
  </si>
  <si>
    <t>Porcentaje real</t>
  </si>
  <si>
    <t>Inventario Transacciones</t>
  </si>
  <si>
    <t>Cumple</t>
  </si>
  <si>
    <t>No cumple</t>
  </si>
  <si>
    <t>Volver</t>
  </si>
  <si>
    <t>REQUERIMIENTOS USUARIO</t>
  </si>
  <si>
    <t>Cumplidos</t>
  </si>
  <si>
    <t>No cumplidos</t>
  </si>
  <si>
    <t>Implementados</t>
  </si>
  <si>
    <t>* Requerimientos Inicio / Landing</t>
  </si>
  <si>
    <t>* Requerimientos Inicio de sesión</t>
  </si>
  <si>
    <t>* Requerimientos Registro</t>
  </si>
  <si>
    <t>* Requerimientos Panel Administrador</t>
  </si>
  <si>
    <t>* Requerimientos Instrumental</t>
  </si>
  <si>
    <t>* Requerimientos Materia Prima</t>
  </si>
  <si>
    <t>* Requerimientos Historial</t>
  </si>
  <si>
    <t>* Requerimientos Clientes</t>
  </si>
  <si>
    <t>* Requerimientos Facturación</t>
  </si>
  <si>
    <t>* Gestión de Usuarios y Autenticación</t>
  </si>
  <si>
    <t>* Gestión de Permisos y Menús</t>
  </si>
  <si>
    <t>REQUERIMIENTOS FUNCIONALES</t>
  </si>
  <si>
    <t>REQUERIMIENTOS NO FUNCIONALES</t>
  </si>
  <si>
    <t>SI</t>
  </si>
  <si>
    <t>Marque con una equis (X) si el sistema no cumple con la función descrita</t>
  </si>
  <si>
    <t>NO</t>
  </si>
  <si>
    <t>Marque con una equis (X) si el sistema cumple con la función descrita</t>
  </si>
  <si>
    <t>ADI</t>
  </si>
  <si>
    <t>Marque con una equis (X) si el sistema debe adicionar la función descrita</t>
  </si>
  <si>
    <t>Observaciones:</t>
  </si>
  <si>
    <t>Espacio para complementar respuestas</t>
  </si>
  <si>
    <t>P</t>
  </si>
  <si>
    <t>Nivel de cumplimiento</t>
  </si>
  <si>
    <t>OBSERVACIONES</t>
  </si>
  <si>
    <t>REQUERIMIENTOS FUNCIONALES SPECIALIZED</t>
  </si>
  <si>
    <t xml:space="preserve">Gestión de productos </t>
  </si>
  <si>
    <t>El sistema contará con un módulo de gestión de catálogo.</t>
  </si>
  <si>
    <t>x</t>
  </si>
  <si>
    <t>El sistema debe permitir actualizar la informacion de los productos disponibles.</t>
  </si>
  <si>
    <t>El sistema debe permitir eliminar los productos que ya no se deseen mostrar en el catálogo.</t>
  </si>
  <si>
    <t>Almacenamiento de instrumental disponible</t>
  </si>
  <si>
    <t xml:space="preserve"> El sistema debe mostrar en tiempo real el stock disponible de cada producto.</t>
  </si>
  <si>
    <t>El sistema debe tener alertas automáticas cuando el stock de un producto sea inferior al normal establecido.</t>
  </si>
  <si>
    <t>Control de inventario</t>
  </si>
  <si>
    <t>El sistema debe registrar salidas de productos del inventario con detalles como fecha, cantidad y motivo (por ejemplo, venta o pérdida).</t>
  </si>
  <si>
    <t>Generar reportes automáticos de inventario para análisis periódico (Como los productos que más se vendieron en un mes).</t>
  </si>
  <si>
    <t>Permitir registrar información sobre la materia prima utilizada en la fabricación de productos, como proveedores, cantidades disponibles, costos unitarios y fechas de adquisición.</t>
  </si>
  <si>
    <t>Gestión de proveedores</t>
  </si>
  <si>
    <t>Registrar información detallada de proveedores, como nombre, dirección, teléfono, correo electrónico, productos suministrados y condiciones de compra.</t>
  </si>
  <si>
    <t>Permitir eliminar proveedores a los cuales ya no se les pide materia prima, o dejaron de proveer esta misma.</t>
  </si>
  <si>
    <t>Permitir actualizar proveedores en caso que se tenga que actualizar algún dato de estos.</t>
  </si>
  <si>
    <t>Incluir funcionalidades para realizar búsquedas rápidas y filtrar por nombre o tipo de producto suministrado.</t>
  </si>
  <si>
    <t xml:space="preserve">Gestión de clientes </t>
  </si>
  <si>
    <t>Permitir almacenar información de clientes, incluyendo nombre, tipo de cliente (profesional, estudiante, etc.), dirección, teléfono y correo electrónico.</t>
  </si>
  <si>
    <t>Permitir segmentar clientes según su tipo (estudiante, profesional, etc.) para personalizar ofertas y analizar patrones de compra.</t>
  </si>
  <si>
    <t xml:space="preserve">Facturación </t>
  </si>
  <si>
    <t>Generar facturas automáticamente al confirmar una venta, incluyendo información del cliente, productos vendidos, cantidades, precios unitarios, impuestos y totales.</t>
  </si>
  <si>
    <t>El sistema debe generar automáticamente una factura en formato PDF al confirmar una venta, El PDF deberá estar disponible para visualización, descarga e impresión.</t>
  </si>
  <si>
    <t xml:space="preserve">Reportes </t>
  </si>
  <si>
    <t>Generar reportes sobre ventas, inventario, ingresos, clientes y proveedores.</t>
  </si>
  <si>
    <t>Permitir la personalización de reportes para incluir filtros por fecha, categorías de productos, etc.</t>
  </si>
  <si>
    <t xml:space="preserve">Gestión de precios </t>
  </si>
  <si>
    <t>Implementar promociones o descuentos temporales con fechas de inicio y fin.</t>
  </si>
  <si>
    <t xml:space="preserve">Gestión de devoluciones </t>
  </si>
  <si>
    <t>Registrar devoluciones de productos, especificando el motivo, la cantidad devuelta y las acciones tomadas (reemplazo, reembolso, reparación).</t>
  </si>
  <si>
    <t>Gestión de usuarios</t>
  </si>
  <si>
    <t>Permitir la creación de cuentas de usuario  (administrador o cliente).</t>
  </si>
  <si>
    <t>Implementar autenticación segura mediante contraseñas encriptadas y opciones de recuperación.</t>
  </si>
  <si>
    <t>Gestión de empleados</t>
  </si>
  <si>
    <t>Registrar información del personal, incluyendo nombre, cargo, dirección, teléfono, correo electrónico y fecha de ingreso.</t>
  </si>
  <si>
    <t>El sistema debe permitir eliminar registros de empleados que ya no estén vinculados a la empresa.</t>
  </si>
  <si>
    <t>El sistema debe permitir actualizar registros de empleados según lo necesite el usuario.</t>
  </si>
  <si>
    <t>Incluir un módulo para registrar y gestionar informes médicos del personal, asegurando la confidencialidad.</t>
  </si>
  <si>
    <t>Otros</t>
  </si>
  <si>
    <t>Implementar un sistema de búsquedas y filtros avanzados para listar materias primas y servicios ofrecidos por un proveedor específico.</t>
  </si>
  <si>
    <t>El sistema debe llevar los colores institucionales (verde, blanco y azul).</t>
  </si>
  <si>
    <t>Registrar un log de actividades críticas (ej: eliminación de productos, cambios de precios) con usuario, fecha y hora, para trazabilidad.</t>
  </si>
  <si>
    <t>Implementar interfaz en al menos 2 idiomas (español/inglés), con posibilidad de añadir más en el futuro.</t>
  </si>
  <si>
    <t xml:space="preserve"> y e</t>
  </si>
  <si>
    <t>REQUERIMIENTOS NO FUNCIONALES SPECIALIZED</t>
  </si>
  <si>
    <t>Seguridad</t>
  </si>
  <si>
    <t>Proteger los datos de clientes, empleados y proveedores mediante algoritmos de encriptación.</t>
  </si>
  <si>
    <t>Encriptación de la contraseña del usuario del sistema.</t>
  </si>
  <si>
    <t>Implementar medidas contra ataques como SQL Injection.</t>
  </si>
  <si>
    <t>Si un usuario falla 3 veces al ingresar su contraseña, su cuenta se bloquea temporalmente.</t>
  </si>
  <si>
    <t>Accesos restringidos: Solo los jefes o administradores pueden ver informes médicos de empleados.</t>
  </si>
  <si>
    <t>Desempeño</t>
  </si>
  <si>
    <t>El tiempo de respuesta del sistema debe ser inferior a 3 segundos en operaciones comunes como la realización de búsquedas.</t>
  </si>
  <si>
    <t>Reportes rápidos: Generar un reporte de ventas mensual no debe tardar más de 10 segundos.</t>
  </si>
  <si>
    <t>Usabilidad</t>
  </si>
  <si>
    <t>La interfaz del sistema debe ser intuitiva.</t>
  </si>
  <si>
    <t>La interfaz del sistema debe ser fácil de usar.</t>
  </si>
  <si>
    <t>Compatibilidad</t>
  </si>
  <si>
    <t xml:space="preserve">El sistema debe ser compatible con los principales navegadores web (Chrome, Firefox, Edge, Safari). 
</t>
  </si>
  <si>
    <t>Debe ser accesible desde dispositivos móviles, tabletas y computadoras de escritorio.</t>
  </si>
  <si>
    <t>Realizar copias de seguridad automáticas diariamente y permitir restauración rápida en caso de fallas.</t>
  </si>
  <si>
    <t>Mantenimiento</t>
  </si>
  <si>
    <t>Restaurar información: Si se pierden datos, poder recuperarlos desde la última copia de seguridad.</t>
  </si>
  <si>
    <t>El sistema debe mostrar mensajes claros cuando hay errores (ej: "No se pudo guardar. Revise su conexión a internet").</t>
  </si>
  <si>
    <t>Leyes de privacidad: Cumplir con normas de protección de datos (ej: no compartir información de clientes sin permiso).</t>
  </si>
  <si>
    <t>El sistema debe poder imprimir facturas o reportes sin configurar nada extra.</t>
  </si>
  <si>
    <t>Logo visible: Mostrar el logo de la empresa en todas las pantallas importantes (facturas, reportes).</t>
  </si>
  <si>
    <t>REQUERIMIENTOS GENERALES FUNCIONALES DE LA PÁGINA WEB - LANDING</t>
  </si>
  <si>
    <t xml:space="preserve"> Mostrar menú superior con opciones de navegación</t>
  </si>
  <si>
    <t>Mostrar botón "Ingresar" en esquina superior derecha</t>
  </si>
  <si>
    <t>Búsqueda Dinámica: Filtrado de productos en tiempo real al ingresar caracteres (ej: "li").</t>
  </si>
  <si>
    <t>Auto-cierre de Secciones: Al limpiar la búsqueda, las secciones desplegadas deben cerrarse solas.</t>
  </si>
  <si>
    <t>Controlador de Limpieza: Botón dedicado para resetear el campo de búsqueda de forma instantánea.</t>
  </si>
  <si>
    <t>Navegación por Tabs: Selección de categorías mediante botones de menú superior.</t>
  </si>
  <si>
    <t>Gestión de Cookies: Desplegar modal informativo antes de permitir el acceso al Login.</t>
  </si>
  <si>
    <t>Lógica de Redirección: El sistema debe redirigir al login tras interactuar con el modal de cookies.</t>
  </si>
  <si>
    <t>Visualización de Kits: Listado de instrumentos agrupados por especialidad dental.</t>
  </si>
  <si>
    <t>Botón "Ingresar": Enlace funcional hacia el módulo de autenticación.</t>
  </si>
  <si>
    <t>Visualización de Imágenes de Kits: Mostrar fotografías reales de los productos en el hover.</t>
  </si>
  <si>
    <t>Mostrar información de contacto (teléfono, dirección).</t>
  </si>
  <si>
    <t>Mostrar footer con derechos de autor.</t>
  </si>
  <si>
    <t>Mostrar enlaces a redes sociales en footer.</t>
  </si>
  <si>
    <t>Mostrar mensaje de bienvenida al usuario.</t>
  </si>
  <si>
    <t>Carrusel de productos destacados.</t>
  </si>
  <si>
    <t xml:space="preserve"> Barra de búsqueda en header.</t>
  </si>
  <si>
    <t>Enlace directo a WhatsApp de ventas.</t>
  </si>
  <si>
    <t>Etiqueta "Nuevo" en productos recientes.</t>
  </si>
  <si>
    <t>Botón "Volver arriba" en scroll.</t>
  </si>
  <si>
    <t>Por el momento la página no tiene movimientos scroll</t>
  </si>
  <si>
    <t>Vista rápida de productos.</t>
  </si>
  <si>
    <t xml:space="preserve"> Sección de noticias o blog.</t>
  </si>
  <si>
    <t>Filtro por tipo de material (acero/liviano).</t>
  </si>
  <si>
    <t>Filtro por especialización dental.</t>
  </si>
  <si>
    <t>Descarga de catálogo en PDF.</t>
  </si>
  <si>
    <t>Vista de productos agotados.</t>
  </si>
  <si>
    <t>Estado de Carga: Mostrar nombres de productos y descripciones base incluso si la imagen falla.</t>
  </si>
  <si>
    <t>REQUERIMIENTOS GENERALES NO FUNCIONALES DE LA PÁGINA WEB - LANDING</t>
  </si>
  <si>
    <t>Página carga en menos de 5 segundos.</t>
  </si>
  <si>
    <t>Textos legibles y tamaño adecuado.</t>
  </si>
  <si>
    <t>Mostrar header con logo de la empresa.</t>
  </si>
  <si>
    <t>Adaptabilidad (Responsive): Uso de Media Queries para que la web funcione en móviles.</t>
  </si>
  <si>
    <t>Iconografía Estándar: Integración con FontAwesome para íconos del sistema.</t>
  </si>
  <si>
    <t>Imágenes no pixeladas.</t>
  </si>
  <si>
    <t>Cambio de cursor a 'pointer' en botones y cartas.</t>
  </si>
  <si>
    <t>Suavizado de bordes: Interfaz con esquinas redondeadas para estética moderna.</t>
  </si>
  <si>
    <t>Optimización de carga: Scripts ubicados al final del body para mayor velocidad.</t>
  </si>
  <si>
    <t>Jerarquía visual: Títulos destacados con colores institucionales.</t>
  </si>
  <si>
    <t xml:space="preserve"> Imágenes optimizadas para web.</t>
  </si>
  <si>
    <t>Formularios con mensajes de error claros.</t>
  </si>
  <si>
    <t>Compatible con lectores de pantalla.</t>
  </si>
  <si>
    <t>Cumplimiento ley de protección de datos.</t>
  </si>
  <si>
    <t>Escalable para más productos.</t>
  </si>
  <si>
    <t>Fácil de actualizar contenido.</t>
  </si>
  <si>
    <t>No requiere software especial.</t>
  </si>
  <si>
    <t>REQUERIMIENTOS FUNCIONALES DEL INICIO DE SESIÓN</t>
  </si>
  <si>
    <t>Mostrar formulario con campos "Usuario" y "Contraseña".</t>
  </si>
  <si>
    <t>Logo corporativo visible en pantalla de login.</t>
  </si>
  <si>
    <t>Campo contraseña con ocultación de caracteres.</t>
  </si>
  <si>
    <t>El sistema debe mostrar el panel de inicio de sesión.</t>
  </si>
  <si>
    <t>Botón "INICIAR SESIÓN" que envía datos al servidor.</t>
  </si>
  <si>
    <t>Enlace "¿Olvidaste tu contraseña?" funcional.</t>
  </si>
  <si>
    <t>Si el usuario ingreso la información correctamente, al hacer clic en “iniciar sesión” el sistema debe redirigir al usuario a la página principal del sistema.</t>
  </si>
  <si>
    <t xml:space="preserve">Si el usuario no ingreso la información correctamente, el sistema debe mostrar un cuadro de texto que indique que ingresó mal la contraseña o el usuario y debe reingresar los datos correctamente. </t>
  </si>
  <si>
    <t>El sistema debe mostrar el mensaje "Completa este campo" si se intenta enviar el formulario vacío.</t>
  </si>
  <si>
    <t>Cambio fluido entre la vista de Login y Registro mediante manipulación de clases CSS.</t>
  </si>
  <si>
    <t>Al hacer clic en “Registrarse” el sistema debe redirigir al usuario a la sección de registro.</t>
  </si>
  <si>
    <t>Limpieza de caché del formulario al recargar.</t>
  </si>
  <si>
    <t>Título descriptivo "Iniciar Sesión" visible.</t>
  </si>
  <si>
    <t>Separador visual entre formulario y sección de registro.</t>
  </si>
  <si>
    <t>Mostrar/ocultar contraseña con ícono de ojo.</t>
  </si>
  <si>
    <t>Idioma seleccionable (ES/EN) en esquina superior.</t>
  </si>
  <si>
    <t>Validación de tiempo de sesión máxima configurable.</t>
  </si>
  <si>
    <t>Pantalla de términos y condiciones obligatoria en primer login.</t>
  </si>
  <si>
    <t>Pantalla de bienvenida personalizada tras login (con nombre).</t>
  </si>
  <si>
    <t>El sistema debe limpiar el historial de navegación para evitar que se pueda volver atrás tras cerrar sesión.</t>
  </si>
  <si>
    <t>REQUERIMIENTOS NO FUNCIONALES DEL INICIO DE SESIÓN</t>
  </si>
  <si>
    <t>Mensajes de error en español claro y amigable.</t>
  </si>
  <si>
    <t>Los títulos y mensajes motivacionales deben cambiar de color suavemente al pasar el mouse.</t>
  </si>
  <si>
    <t>Uso de fuentes diferenciadas (Montserrat para títulos, Arial para cuerpo) para mejorar la lectura.</t>
  </si>
  <si>
    <t>Mostrar formulario de registro con campos: "Usuario", "Correo electrónico", "Contraseña", "Teléfono".</t>
  </si>
  <si>
    <t>Botón "REGISTRARSE" que envía datos al servidor.</t>
  </si>
  <si>
    <t>Mensaje de éxito "Registro completado" tras envío exitoso.</t>
  </si>
  <si>
    <t>Validación en tiempo real de campos obligatorios.</t>
  </si>
  <si>
    <t>Redirección automática a login tras registro exitoso.</t>
  </si>
  <si>
    <t>Validación de formato de correo electrónico (con @ y dominio).</t>
  </si>
  <si>
    <t>Verificación de que correo no esté ya registrado.</t>
  </si>
  <si>
    <t>Mínimo 8 caracteres para contraseña.</t>
  </si>
  <si>
    <t>Mensaje de error específico por campo (ej: "Correo ya registrado").</t>
  </si>
  <si>
    <t>Campos marcados con asterisco (*) para indicar obligatoriedad.</t>
  </si>
  <si>
    <t>Logo corporativo visible en pantalla de registro.</t>
  </si>
  <si>
    <t>Campos con etiquetas claras en español.</t>
  </si>
  <si>
    <t>Validación contra inyección SQL en todos los campos.</t>
  </si>
  <si>
    <t>Bloqueo de envíos múltiples (prevenir doble clic en botón).</t>
  </si>
  <si>
    <t>Compatibilidad con navegación por teclado (Tab).</t>
  </si>
  <si>
    <t>Campo de contraseña con máscara de caracteres por defecto.</t>
  </si>
  <si>
    <t>Mostrar/ocultar contraseña con ícono de ojo en ambos campos.</t>
  </si>
  <si>
    <t>Validación de fortaleza de contraseña (mínimo 1 mayúscula, 1 número).</t>
  </si>
  <si>
    <t>Checkbox "Acepto términos y condiciones" obligatorio.</t>
  </si>
  <si>
    <t>El campo de contraseña debe restringir el ingreso a menos de 8 caracteres.</t>
  </si>
  <si>
    <t>Al finalizar el registro el sistema debe mostrar un cuadro de texto que indique que el registro fue completado con éxito.</t>
  </si>
  <si>
    <t>El sistema debe eliminar espacios en blanco accidentales en usuario y correo antes de procesarlos (Trim).</t>
  </si>
  <si>
    <t>El sistema debe filtrar y eliminar cualquier carácter no numérico del campo teléfono.</t>
  </si>
  <si>
    <t>El sistema debe asegurar que si falla la asignación de permisos, el usuario no se cree (Rollback si algo sale mal).</t>
  </si>
  <si>
    <t>El sistema debe vincular al nuevo usuario con el menú de "Cliente" por defecto</t>
  </si>
  <si>
    <t>Mostrar requisitos de formato (ej: "mínimo 3 caracteres") al enfocar los campos de entrada.</t>
  </si>
  <si>
    <t>Restringir el registro si el nombre de usuario tiene menos de 3 caracteres.</t>
  </si>
  <si>
    <t>Tiempo de respuesta &lt; 3 segundos para procesar registro.</t>
  </si>
  <si>
    <t>Almacenamiento seguro de contraseñas con hash.</t>
  </si>
  <si>
    <t>Validación server-side además de client-side.</t>
  </si>
  <si>
    <t>PHP valida longitud, formato de email y duplicados.</t>
  </si>
  <si>
    <t>Contraste de colores adecuado para lectura.</t>
  </si>
  <si>
    <t>Logs de nuevos registros con fecha y hora.</t>
  </si>
  <si>
    <t>Protección contra spam con límite de registros por IP.</t>
  </si>
  <si>
    <t>Base de datos PostgreSQL con índices para búsqueda rápida</t>
  </si>
  <si>
    <t>Validación de entradas contra XSS y SQL injection.</t>
  </si>
  <si>
    <t>Cookies seguras para sesión post-registro.</t>
  </si>
  <si>
    <t>Backend PHP 7.4+ con prácticas básicas de seguridad.</t>
  </si>
  <si>
    <t>Manejo de excepciones básico (no muestra errores técnicos).</t>
  </si>
  <si>
    <t>Consistencia visual con resto del sistema.</t>
  </si>
  <si>
    <t>Espaciado adecuado entre elementos del formulario.</t>
  </si>
  <si>
    <t>Sistema de alertas por registro sospechoso (muchos intentos).</t>
  </si>
  <si>
    <t>Soporte para nombres largos (hasta 50 caracteres sin truncar).</t>
  </si>
  <si>
    <t>Bloquear la carga de la página de registro en marcos o iframes externos.</t>
  </si>
  <si>
    <t>X-Frame-Options: DENY</t>
  </si>
  <si>
    <t>No enviar información del sitio de origen al navegar a enlaces externos.</t>
  </si>
  <si>
    <t>Impedir que los datos sensibles del formulario se almacenen en el caché del navegador.</t>
  </si>
  <si>
    <t>Cache-Control: no-store</t>
  </si>
  <si>
    <t>El backend debe exigir tipos de datos exactos para minimizar errores de lógica.</t>
  </si>
  <si>
    <t>La lógica de acceso a la base de datos debe residir en un archivo independiente y protegido.</t>
  </si>
  <si>
    <t>El sistema no debe mostrar este icono si el usuario no ha iniciado sesión.</t>
  </si>
  <si>
    <t>REQUERIMIENTOS FUNCIONALES DEL PANEL ADMINISTRADOR DE LA PÁGINA WEB</t>
  </si>
  <si>
    <t>Al entrar se carga un dashboard centralizado con métricas clave de la plataforma.</t>
  </si>
  <si>
    <t>Saludo dinámico y personalizado con el nombre del usuario en sesión.</t>
  </si>
  <si>
    <t>Tarjetas de métrica (Total Usuarios, Nuevos este mes, Empleados, Clientes, Proveedores, Productos en inventario, mayor venta, Menor producto en stock) conectadas a la base de datos.</t>
  </si>
  <si>
    <t>Renderizado de Grillas de Datos: El cuerpo del modal debe visualizar una lista detallada con los campos técnicos correspondientes (ID, Nombre, Contacto, Estado, etc.) consultados en tiempo real desde la DB.</t>
  </si>
  <si>
    <t>Estandarización de Modales de Inserción: Al presionar "Nuevo" en cualquier modal de gestión, el sistema debe desplegar un formulario dinámico con los campos obligatorios correspondientes al módulo.</t>
  </si>
  <si>
    <t>El sistema debe restringir automáticamente la visibilidad del botón "Nuevo" en el modal de la tarjeta "Nuevos este mes", permitiendo únicamente funciones de consulta y desplegar una lista con los usuarios registrados en el mes actual con los campos (ID, Usuario, Email, Teléfono, Fecha Registro, Acciones).</t>
  </si>
  <si>
    <t>Gestión de Cierre y Navegación: El modal debe contar con un botón "Cerrar" en la parte inferior y una "X" en la esquina superior derecha que finalice la instancia del objeto modal y retorne el foco a la vista general del Panel de Administración.</t>
  </si>
  <si>
    <t>Validación Universal de Entradas: Todos los campos de entrada de datos en los modales deben contar con validaciones de tipo de dato, longitud mínima/máxima y obligatoriedad antes de ser enviados.</t>
  </si>
  <si>
    <t>Manejo de Errores desde la Base de Datos: El sistema debe capturar las excepciones lanzadas por PostgreSQL (ej. Violación de unicidad) y mostrar un mensaje claro al administrador sin interrumpir el flujo.</t>
  </si>
  <si>
    <t>Lógica de Borrado Lógico (Soft Delete): La eliminación de cualquier registro desde el panel administrativo debe realizarse mediante la actualización del campo ind_vivo a FALSE, manteniendo la integridad referencial.</t>
  </si>
  <si>
    <t>Trazabilidad de Eliminación: Todo proceso de borrado lógico debe registrar automáticamente el usuario que realizó la acción y la fecha/hora exacta en los campos user_delete y fec_delete.</t>
  </si>
  <si>
    <t>Tras una actualización exitosa el sistema debe desplegar un modal diciendo que el registro fue guardado correctamente, al dar aceptar todos los modales se deben cerrar volviendo a dejar visible el dashboard principal.</t>
  </si>
  <si>
    <t>Confirmación de Acciones Críticas: Antes de ejecutar un borrado o una actualización masiva, el sistema debe solicitar una confirmación visual al usuario para prevenir errores accidentales.</t>
  </si>
  <si>
    <t>Integración de Búsqueda en Listados: Todo modal que visualice una lista (Usuarios, Clientes, etc.) debe integrar un campo de filtrado por nombre o ID para localización rápida de registros.</t>
  </si>
  <si>
    <t>Reporte de Nuevos Registros: Filtrar y mostrar automáticamente los usuarios registrados cuya fecha de inserción corresponda al mes calendario actual.</t>
  </si>
  <si>
    <t>Gestión Centralizada de Empleados: Visualizar y gestionar datos técnicos del personal (Cargos, ID de documento, Estado contractual) mediante el modal de Empleados.</t>
  </si>
  <si>
    <t>Consolidado de Gestión de Clientes: Desplegar el listado de clientes profesionales y estudiantes con su respectiva información de contacto y ubicación.</t>
  </si>
  <si>
    <t>En el campo "Acciones" de las tarjetas deben haber dos botones funcionales para "Editar" y "Eliminar".</t>
  </si>
  <si>
    <t>Visualización de "Total Ventas" con montos acumulados de la DB en la esquina inferior derecha.</t>
  </si>
  <si>
    <t>Reporte rápido de "Ventas Diarias" en la sección de analítica en la esquina inferior derecha.</t>
  </si>
  <si>
    <t>Botón "Instrumental" redirecciona a la gestión de productos y kits.</t>
  </si>
  <si>
    <t>Botón "Materia Prima" redirecciona a la gestión de la materia prima.</t>
  </si>
  <si>
    <t>Botón "Historial" redirecciona a la gestión de historiales de la empresa.</t>
  </si>
  <si>
    <t>El sistema debe mostrar un menú lateral derecho (panel de configuración) que contenga de forma visible las opciones: "Modificar Perfil", "Cambiar Contraseña", "Configuración", "Exportar Datos", "Ayuda y Soporte" y "Cerrar Sesión".</t>
  </si>
  <si>
    <t>Al accionar la opción "Modificar Perfil" desde el menú, el sistema debe desplegar un modal con los campos (Nombre de usuario, Email, Teléfono, Rol), permitiendo al administrador editar su información, guardar cambios con mensaje de éxito o cancelar la operación retornando al dashboard.</t>
  </si>
  <si>
    <t>Al accionar la opción "Cambiar Contraseña" desde el menú, el sistema debe desplegar un modal con los campos (Contraseña Actual, Nueva, Confirmación), validando la coincidencia de datos y confirmando el cambio exitoso mediante un mensaje emergente.</t>
  </si>
  <si>
    <t>Opción "Configuración" accesible desde el panel.</t>
  </si>
  <si>
    <t>Al presionar "Cerrar Sesión", el sistema debe destruir la sesión actual del servidor y redirigir al Index de forma inmediata.</t>
  </si>
  <si>
    <t>Control de acceso por rol (Solo administradores ven este panel).</t>
  </si>
  <si>
    <t>Capacidad de colapsar los menus laterales para ganar área de trabajo.</t>
  </si>
  <si>
    <t>Carga asíncrona de estadísticas para no bloquear la interfaz.</t>
  </si>
  <si>
    <t>Botón de ayuda y soporte técnico directo para el administrador.</t>
  </si>
  <si>
    <t>El dashboard debe refrescar las cifras de las tarjetas cada vez que se detecte un cambio exitoso en la base de datos.</t>
  </si>
  <si>
    <t>Si un listado supera los 20 registros, el modal debe implementar una barra de desplazamiento (scroll) o paginación interna.</t>
  </si>
  <si>
    <t>Capacidad de visualizar registros marcados como inactivos y permitir su reactivación (cambio de ind_vivo).</t>
  </si>
  <si>
    <t>Notificaciones de Éxito: Tras cada acción de "Guardar Cambios" o "Nuevo", mostrar un aviso flotante (Toast) confirmando la operación.</t>
  </si>
  <si>
    <t>Las listas en los modales deben mostrar una miniatura del producto o usuario si el registro cuenta con img_url.</t>
  </si>
  <si>
    <t>Los modales de inserción deben mostrar mensajes de ayuda indicando el formato correcto (ej: "Solo números" en teléfono).</t>
  </si>
  <si>
    <t>REQUERIMIENTOS NO FUNCIONALES DEL PANEL ADMINISTRADOR</t>
  </si>
  <si>
    <t>REQUERIMIENTOS FUNCIONALES DE INSTRUMENTAL DENTRO DE LA PÁGINA WEB</t>
  </si>
  <si>
    <t>El sistema debe mostrar el botón "Volver al Inicio" que redirecciona al dashboard principal.</t>
  </si>
  <si>
    <t>Al dar click en la tarjeta "Instrumentos" el sistema debe abrir la gestión de instrumentos.</t>
  </si>
  <si>
    <t>Al entrar a una tarjeta, en la esquina superior izquierda debe estar el botón "Volver a Selección" que al interactuar con el, debe redirigir a la pestaña anterior con las tarjetas "Instrumentos" y "Kits".</t>
  </si>
  <si>
    <t>El sistema debe mostrar barras de búsqueda funcionales para facilitar la búsqueda en cada tarjeta.</t>
  </si>
  <si>
    <t>Las barras de búsqueda deben ser predictivas.</t>
  </si>
  <si>
    <t>El sistema debe limpiar los filtros de búsqueda automáticamente al navegar entre la gestión de Instrumentos y la gestión de Kits.</t>
  </si>
  <si>
    <t>Al extremo derecho de las barras de búsqueda debe estar el botón "Agregar Nuevo".</t>
  </si>
  <si>
    <t>El modal de "Nuevo Registro" debe contar con los botones "Cancelar" que regresa al listado de instrumentos/kits y "Guardar" que registra los cambios realizados.</t>
  </si>
  <si>
    <t>Al dar click en la tarjeta "Kits" el sistema debe abrir la gestión de kits.</t>
  </si>
  <si>
    <t>Al activar la gestión de Kits, el sistema debe ocultar completamente el contenedor de Instrumentos para evitar colisiones de ID en el DOM.</t>
  </si>
  <si>
    <t>Al activar la gestión de Instrumentos, el sistema debe ocultar completamente el contenedor de Kits para evitar colisiones de ID en el DOM.</t>
  </si>
  <si>
    <t>El sistema debe permitir ver cuántos instrumentos individuales conforman un Kit antes de proceder a su edición.</t>
  </si>
  <si>
    <t>El sistema debe gestionar dos tipos de ítems internos: "Instrumentos" (Piezas sueltas) y "Kits" (Conjuntos), los cuales NO son visibles directamente en la Landing Page.</t>
  </si>
  <si>
    <t>El sistema debe permitir crear "Productos Comerciales" en la tabla tab_productos, vinculándolos a un Instrumento o a un Kit existente.</t>
  </si>
  <si>
    <t>La Landing Page (Página Web) debe mostrar únicamente los productos que tengan el estado "Visible" activo.</t>
  </si>
  <si>
    <t>El precio mostrado en la Landing Page debe ser el precio de venta público definido en tab_productos.</t>
  </si>
  <si>
    <t>El catálogo de la Landing Page debe ser de "Solo lectura" (Modo vitrina), sin carrito de compras ni pasarela de pagos.</t>
  </si>
  <si>
    <t>El sistema administrativo debe permitir subir una foto referencial para cada "Producto Comercial".</t>
  </si>
  <si>
    <t>Si el stock físico de un Instrumento o Kit llega a cero, el "Producto Comercial" asociado debe mostrarse automáticamente como "Agotado" en la Landing Page (o ocultarse, según preferencia).</t>
  </si>
  <si>
    <t>El Administrador debe poder editar el "Nombre Comercial" y "Descripción" del producto para la web, que puede ser diferente al nombre técnico del inventario.</t>
  </si>
  <si>
    <t>REQUERIMIENTOS FUNCIONALES DE INSTRUMENTAL DENTRO DE LA BASE DE DATOS</t>
  </si>
  <si>
    <t>El sistema debe permitir gestionar productos terminados clasificándolos como "Instrumentos" o "Kits".</t>
  </si>
  <si>
    <t>La función de gestión de productos debe impedir que un producto sea Instrumento y Kit simultáneamente.</t>
  </si>
  <si>
    <t>El sistema debe validar que el nombre del producto comercial no esté vacío.</t>
  </si>
  <si>
    <t>Al crear un producto, el sistema debe verificar que la referencia de inventario (ID Instrumento o ID Kit) exista y esté activa.</t>
  </si>
  <si>
    <t>revisar</t>
  </si>
  <si>
    <t>El sistema debe permitir actualizar el precio de venta público de los productos del catálogo.</t>
  </si>
  <si>
    <t>El sistema debe permitir la eliminación lógica de productos del catálogo para que no aparezcan en ventas.</t>
  </si>
  <si>
    <t>La base de datos debe permitir asociar una imagen (URL) a cada ítem del catálogo.</t>
  </si>
  <si>
    <t>El sistema debe validar que el precio del producto sea mayor o igual a cero.</t>
  </si>
  <si>
    <t>La consulta de catálogo debe permitir filtrar por tipo de producto (Instrumento/Kit).</t>
  </si>
  <si>
    <t>El sistema debe mostrar la disponibilidad (Stock) real calculada desde las tablas de inventario.</t>
  </si>
  <si>
    <t>REQUERIMIENTOS NO FUNCIONALES DE INSTRUMENTAL DENTRO DE LA PÁGINA WEB</t>
  </si>
  <si>
    <t>Al entrar a la sección "Instrumental" los demás menus deben inhabilitarse de tal forma que no se pueda acceder a ellos por el menú lateral izquierdo.</t>
  </si>
  <si>
    <t>El botón del módulo activo ("Instrumental") debe incrementar su luminosidad y escala para diferenciarse de los módulos inactivos.</t>
  </si>
  <si>
    <t>Los elementos de navegación no permitidos deben presentar una opacidad reducida (0.5 o menor) como indicador de deshabilitación.</t>
  </si>
  <si>
    <t>Las opciones de menú deben mostrar un borde blanco definido y agrandar su tamaño relativo al detectar el cursor.</t>
  </si>
  <si>
    <t>Implementación de translateY negativo y aumento de box-shadow al pasar el mouse sobre las tarjetas de instrumentos o kits.</t>
  </si>
  <si>
    <t>Aparición de una barra azul en la parte inferior de la tarjeta "Instrumentos" al activarse el evento hover.</t>
  </si>
  <si>
    <t>Aparición de una barra verde en la parte inferior de la tarjeta "Kits" al activarse el evento hover.</t>
  </si>
  <si>
    <t>Todas las animaciones de escala y color deben tener una transición de 0.3s con curva ease.</t>
  </si>
  <si>
    <t>Uso prioritario de la fuente 'Segoe UI' o 'Montserrat' para garantizar la legibilidad de las descripciones técnicas.</t>
  </si>
  <si>
    <t>Uso unificado de border-radius (entre 10px y 25px) en todos los componentes interactivos para una estética moderna.</t>
  </si>
  <si>
    <t>Separación total de la hoja de estilos (estilos_menuPrincipal.css) de la estructura HTML y la lógica PHP.</t>
  </si>
  <si>
    <t>Uso de htmlspecialchars para prevenir ataques XSS al mostrar nombres de instrumentos.</t>
  </si>
  <si>
    <t>??</t>
  </si>
  <si>
    <t>Integración de FontAwesome mediante CDN para asegurar que los glifos no retrasen el renderizado visual.</t>
  </si>
  <si>
    <t>Los mensajes de alerta o validación deben presentarse en modales con diseño coherente al resto del sistema.</t>
  </si>
  <si>
    <t>Animación de brillo o cambio de fondo en el botón "Volver al Inicio" para incitar a la acción.</t>
  </si>
  <si>
    <t>REQUERIMIENTOS NO FUNCIONALES DE INSTRUMENTAL DENTRO DE LA BASE DE DATOS</t>
  </si>
  <si>
    <t>Las imágenes del catálogo deben referenciarse por ruta (URL) y no almacenarse como BLOB en la base de datos para no afectar el rendimiento.</t>
  </si>
  <si>
    <t>La búsqueda de productos por nombre debe ser insensible a mayúsculas/minúsculas y acentos.</t>
  </si>
  <si>
    <t>La estructura debe permitir agregar nuevas categorías de productos en el futuro sin modificar la lógica principal.</t>
  </si>
  <si>
    <t>REQUERIMIENTOS FUNCIONALES DE MATERIA PRIMA DENTRO DE LA PÁGINA WEB</t>
  </si>
  <si>
    <t>REQUERIMIENTOS FUNCIONALES DE MATERIA PRIMA DENTRO DE LA BASE DE DATOS</t>
  </si>
  <si>
    <t>El sistema debe permitir registrar movimientos de entrada (Compras) y salida (Producción) en el Kardex de Materia Prima.</t>
  </si>
  <si>
    <t>La función de Kardex debe validar que la cantidad del movimiento sea siempre mayor a cero.</t>
  </si>
  <si>
    <t>El sistema debe impedir registrar movimientos si la materia prima o el proveedor están inactivos.</t>
  </si>
  <si>
    <t>Al registrar una salida (Tipos 2 o 4), el sistema debe validar que exista stock suficiente en la bodega del proveedor específico.</t>
  </si>
  <si>
    <t>La función debe actualizar el stock físico en la tabla tab_mat_primas_prov inmediatamente después de registrar el Kardex.</t>
  </si>
  <si>
    <t>El sistema debe concatenar el nombre del proveedor en la observación del Kardex para mantener la trazabilidad.</t>
  </si>
  <si>
    <t>El sistema debe validar que exista una relación comercial previa entre el proveedor y la materia prima antes de mover inventario.</t>
  </si>
  <si>
    <t>La función debe soportar tipos de movimiento definidos: 1-Compra, 2-Producción, 3-Ajuste, 4-Daño.</t>
  </si>
  <si>
    <t>El sistema debe lanzar una alerta o excepción si se intenta extraer más cantidad de la disponible (Stock negativo no permitido en MP).</t>
  </si>
  <si>
    <t>La inserción en el Kardex debe generar un ID autoincremental único por movimiento.</t>
  </si>
  <si>
    <t>REQUERIMIENTOS NO FUNCIONALES DE MATERIA PRIMA DENTRO DE LA PÁGINA WEB</t>
  </si>
  <si>
    <t>REQUERIMIENTOS NO FUNCIONALES DE MATERIA PRIMA DENTRO DE LA BASE DE DATOS</t>
  </si>
  <si>
    <t>El registro de un movimiento en el Kardex debe ser atómico para evitar inconsistencias de inventario.</t>
  </si>
  <si>
    <t>El sistema debe ser capaz de manejar lotes de materia prima con precisión decimal (para medidas como gramos o metros).</t>
  </si>
  <si>
    <t>La consulta de stock actual de materia prima debe ser instantánea (tiempo real).</t>
  </si>
  <si>
    <t>El sistema debe mantener la integridad histórica del Kardex; los registros no deben poder ser modificados ni borrados.</t>
  </si>
  <si>
    <t>Las validaciones de stock deben ejecutarse antes de cualquier escritura en disco para optimizar recursos.</t>
  </si>
  <si>
    <t>REQUERIMIENTOS FUNCIONALES DEL HISTORIAL DENTRO DE LA PÁGINA WEB</t>
  </si>
  <si>
    <t>El sistema debe permitir consultar el Historial de Compras de materia prima, filtrando por proveedor y rango de fechas.</t>
  </si>
  <si>
    <t>El sistema debe permitir consultar el Historial de Ventas (Facturación), filtrando por cliente, fecha o número de factura.</t>
  </si>
  <si>
    <t>El sistema debe mostrar una trazabilidad completa de un producto (Kardex): Cuándo se fabricó, cuándo se vendió y a quién.</t>
  </si>
  <si>
    <t>El módulo debe permitir ver el histórico de precios de venta de los productos del catálogo (Fluctuación de precios).</t>
  </si>
  <si>
    <t>El sistema debe permitir consultar el histórico de precios de compra de materia prima (Costos).</t>
  </si>
  <si>
    <t>El sistema debe permitir ver el historial de cambios en la información de un cliente (ej. cambios de dirección o teléfono).</t>
  </si>
  <si>
    <t>Al consultar un lote de producción, el sistema debe mostrar qué materias primas se consumieron en ese momento.</t>
  </si>
  <si>
    <t>El historial debe diferenciar visualmente entre movimientos de entrada (positivos) y salida (negativos).</t>
  </si>
  <si>
    <t>El sistema debe permitir la reimpresión o visualización de facturas antiguas desde el historial.</t>
  </si>
  <si>
    <t>REQUERIMIENTOS FUNCIONALES DEL HISTORIAL DENTRO DE LA BASE DE DATOS</t>
  </si>
  <si>
    <t>El sistema debe registrar automáticamente un histórico cuando se actualice el precio de una materia prima.</t>
  </si>
  <si>
    <t>La función de actualización de precio debe validar que el nuevo precio no sea negativo.</t>
  </si>
  <si>
    <t>El sistema debe exigir un "motivo" obligatorio (texto) para realizar el cambio de precio.</t>
  </si>
  <si>
    <t>La función debe recuperar automáticamente el precio anterior vigente para guardarlo en el registro histórico.</t>
  </si>
  <si>
    <t>Si no existe un historial previo, el sistema debe asumir el precio anterior como 0.</t>
  </si>
  <si>
    <t>El historial debe registrar la fecha y hora exacta del cambio de precio.</t>
  </si>
  <si>
    <t>REQUERIMIENTOS NO FUNCIONALES DEL HISTORIAL DENTRO DE LA PÁGINA WEB</t>
  </si>
  <si>
    <t>realizar pruebas</t>
  </si>
  <si>
    <t>REQUERIMIENTOS FUNCIONALES DE CLIENTES DENTRO DE LA PÁGINA WEB</t>
  </si>
  <si>
    <t>REQUERIMIENTOS FUNCIONALES DE CLIENTES DENTRO DE LA BASE DE DATOS</t>
  </si>
  <si>
    <t>El sistema debe validar que el número de documento del cliente no sea nulo al momento del registro.</t>
  </si>
  <si>
    <t>La función de clientes debe impedir la creación de registros duplicados basados en el número de documento.</t>
  </si>
  <si>
    <t>El sistema debe validar que el primer nombre y primer apellido del cliente sean obligatorios.</t>
  </si>
  <si>
    <t>El sistema debe permitir registrar un segundo nombre y segundo apellido como campos opcionales.</t>
  </si>
  <si>
    <t>El sistema debe validar que el tipo de documento asociado exista en tab_tipo_documentos.</t>
  </si>
  <si>
    <t>El sistema debe impedir que se ingrese un teléfono de cliente con valores negativos o cero.</t>
  </si>
  <si>
    <t>El sistema debe inicializar el campo de "Puntos de Fidelización" en 0 al crear un nuevo cliente.</t>
  </si>
  <si>
    <t>La eliminación de un cliente debe ser lógica, cambiando su estado a inactivo para no perder historial de ventas.</t>
  </si>
  <si>
    <t>REQUERIMIENTOS NO FUNCIONALES DE CLIENTES DENTRO DE LA PÁGINA WEB</t>
  </si>
  <si>
    <t>REQUERIMIENTOS NO FUNCIONALES DE CLIENTES DENTRO DE LA BASE DE DATOS</t>
  </si>
  <si>
    <t>La búsqueda de clientes por número de documento debe retornar resultados en menos de 1 segundo.</t>
  </si>
  <si>
    <t>El campo de dirección del cliente debe soportar hasta 200 caracteres para direcciones detalladas.</t>
  </si>
  <si>
    <t>El sistema debe validar que los nombres y apellidos contengan solo caracteres alfabéticos (incluyendo tildes y ñ).</t>
  </si>
  <si>
    <t>La base de datos debe tener un índice en el campo num_documento para optimizar la búsqueda en el punto de venta.</t>
  </si>
  <si>
    <t>Los mensajes de error al gestionar clientes deben ser descriptivos para el usuario final (ej. "El cliente ya existe").</t>
  </si>
  <si>
    <t>REQUERIMIENTOS FUNCIONALES DE FACTURACIÓN DENTRO DE LA PÁGINA WEB</t>
  </si>
  <si>
    <t>REQUERIMIENTOS FUNCIONALES DE FACTURACIÓN DENTRO DE LA BASE DE DATOS</t>
  </si>
  <si>
    <t>La función de facturación debe recibir la lista de productos y cantidades como arreglos (Arrays) de datos.</t>
  </si>
  <si>
    <t>El sistema debe validar que la cantidad de productos coincida con la cantidad de ítems en el arreglo de cantidades.</t>
  </si>
  <si>
    <t>El sistema debe impedir la facturación a clientes que se encuentren en estado inactivo (ind_vivo = FALSE).</t>
  </si>
  <si>
    <t>La función debe validar que el consecutivo de facturación actual no supere el rango final autorizado en tab_parametros.</t>
  </si>
  <si>
    <t>El sistema debe calcular automáticamente el valor bruto, descuento y neto para cada ítem de la factura.</t>
  </si>
  <si>
    <t>La base de datos debe identificar si el producto es un "Kit" o un "Instrumento" para descontar del inventario correcto.</t>
  </si>
  <si>
    <t>El sistema debe actualizar (incrementar) automáticamente el consecutivo de facturación tras una venta exitosa.</t>
  </si>
  <si>
    <t>La función debe registrar la fecha y hora exacta (NOW()) de la transacción de venta.</t>
  </si>
  <si>
    <t>El sistema debe acumular puntos de fidelización al cliente basados en el total de la factura.</t>
  </si>
  <si>
    <t>El sistema debe realizar un ROLLBACK total de la transacción si falla la inserción de cualquier detalle de la factura.</t>
  </si>
  <si>
    <t>REQUERIMIENTOS NO FUNCIONALES DE FACTURACIÓN DENTRO DE LA PÁGINA WEB</t>
  </si>
  <si>
    <t>REQUERIMIENTOS NO FUNCIONALES DE FACTURACIÓN DENTRO DE LA BASE DE DATOS</t>
  </si>
  <si>
    <t>El proceso completo de facturación (cabecera + detalles + kardex) debe completarse en menos de 3 segundos.</t>
  </si>
  <si>
    <t>El sistema debe garantizar la consistencia de los datos financieros (sin decimales erróneos) usando tipos de datos DECIMAL.</t>
  </si>
  <si>
    <t>Los cálculos de totales deben tener una precisión de 2 decimales.</t>
  </si>
  <si>
    <t>REQUERIMIENTOS FUNCIONALES DE GESTIÓN USUARIOS DENTRO DE LA PÁGINA WEB</t>
  </si>
  <si>
    <t>REQUERIMIENTOS FUNCIONALES DE GESTIÓN USUARIOS DENTRO DE LA BASE DE DATOS</t>
  </si>
  <si>
    <t>La función de creación de usuarios debe validar que el nombre de usuario no contenga espacios vacíos.</t>
  </si>
  <si>
    <t>El sistema debe impedir el registro de dos usuarios con el mismo correo electrónico.</t>
  </si>
  <si>
    <t>El sistema debe validar que el número de teléfono del usuario tenga exactamente 10 dígitos numéricos.</t>
  </si>
  <si>
    <t>La función de actualización de usuarios debe verificar que el usuario exista y esté activo (ind_vivo = TRUE) antes de modificarlo.</t>
  </si>
  <si>
    <t>El sistema debe permitir actualizar la contraseña del usuario validando la complejidad requerida.</t>
  </si>
  <si>
    <t>El sistema debe validar que el correo electrónico del usuario tenga un formato válido (contenga '@' y dominio).</t>
  </si>
  <si>
    <t>El sistema debe impedir la creación de usuarios si el número de teléfono ya está asociado a otra cuenta activa.</t>
  </si>
  <si>
    <t>La función de inserción de usuarios debe asignar automáticamente un ID único consecutivo.</t>
  </si>
  <si>
    <t>El sistema debe retornar un mensaje de error específico ("Usuario ya existe", "Email inválido") según el fallo de validación.</t>
  </si>
  <si>
    <t>La gestión de usuarios debe permitir la asignación de roles o perfiles (asociado a Permisos).</t>
  </si>
  <si>
    <t>REQUERIMIENTOS NO FUNCIONALES DE GESTIÓN USUARIOS DENTRO DE LA PÁGINA WEB</t>
  </si>
  <si>
    <t>REQUERIMIENTOS NO FUNCIONALES DE GESTIÓN USUARIOS DENTRO DE LA BASE DE DATOS</t>
  </si>
  <si>
    <t>Las contraseñas de los usuarios no deben almacenarse en texto plano, deben estar encriptadas (ej. Hash SHA-256 o bcrypt).</t>
  </si>
  <si>
    <t>La validación de credenciales de usuario debe ejecutarse en menos de 500 milisegundos.</t>
  </si>
  <si>
    <t>El campo de contraseña en la base de datos debe tener longitud suficiente para almacenar el hash encriptado.</t>
  </si>
  <si>
    <t>La función de gestión de usuarios debe ser resistente a inyecciones SQL mediante el uso de parámetros tipados.</t>
  </si>
  <si>
    <t>El sistema debe garantizar la confidencialidad de los datos de contacto (teléfono y correo) del usuario.</t>
  </si>
  <si>
    <t>REQUERIMIENTOS FUNCIONALES DE PERMISOS DENTRO DE LA PÁGINA WEB</t>
  </si>
  <si>
    <t>REQUERIMIENTOS FUNCIONALES DE PERMISOS DENTRO DE LA BASE DE DATOS</t>
  </si>
  <si>
    <t>El sistema debe permitir asignar menús específicos a usuarios específicos.</t>
  </si>
  <si>
    <t>La base de datos debe validar que el usuario y el menú existan antes de crear la asociación.</t>
  </si>
  <si>
    <t>El sistema debe permitir revocar el acceso de un usuario a un menú (Eliminación lógica o física de la relación).</t>
  </si>
  <si>
    <t>La consulta de menús debe retornar solo las opciones activas (ind_vivo = TRUE).</t>
  </si>
  <si>
    <t>El sistema debe validar que el nombre del programa (nom_prog) asociado al menú no sea nulo.</t>
  </si>
  <si>
    <t>La base de datos debe impedir asignar el mismo menú dos veces al mismo usuario (Clave primaria compuesta).</t>
  </si>
  <si>
    <t>El sistema debe permitir crear nuevos ítems de menú dinámicamente.</t>
  </si>
  <si>
    <t>Al cargar el sistema, se deben obtener solo los menús autorizados para el usuario que inició sesión.</t>
  </si>
  <si>
    <t>La estructura debe permitir jerarquías de menús si se requiere (aunque el modelo actual es plano, la lógica debe permitirlo).</t>
  </si>
  <si>
    <t>El sistema de auditoría debe registrar quién asignó o revocó permisos a un usuario.</t>
  </si>
  <si>
    <t>REQUERIMIENTOS NO FUNCIONALES DE PERMISOS DENTRO DE LA PÁGINA WEB</t>
  </si>
  <si>
    <t>REQUERIMIENTOS NO FUNCIONALES DE PERMISOS DENTRO DE LA BASE DE DATOS</t>
  </si>
  <si>
    <t>La validación de permisos debe ser inmediata al intentar acceder a un módulo.</t>
  </si>
  <si>
    <t>La estructura de permisos debe ser flexible para agregar nuevos módulos sin reestructurar la base de datos.</t>
  </si>
  <si>
    <t>El sistema no debe mostrar opciones de menú deshabilitadas o inactivas para evitar confusión.</t>
  </si>
  <si>
    <t>La consulta de permisos debe ser de alta velocidad ya que se ejecuta en cada inicio de sesión o navegación.</t>
  </si>
  <si>
    <t>La seguridad de acceso debe validarse tanto en el Frontend (visibilidad) como en el Backend (acceso a datos).</t>
  </si>
  <si>
    <t>Funciones insert</t>
  </si>
  <si>
    <t>Funciones update</t>
  </si>
  <si>
    <t>Funciones delete</t>
  </si>
  <si>
    <t>Funciones transaccionales</t>
  </si>
  <si>
    <t xml:space="preserve">   - fun_insert_banco_prov.sql</t>
  </si>
  <si>
    <t xml:space="preserve">   - fun_update_banco_prov.sql</t>
  </si>
  <si>
    <t xml:space="preserve">   - fun_delete_banco_prov.sql</t>
  </si>
  <si>
    <t>fun_act_precio.sql (Actualiza precios de historico materia prima)</t>
  </si>
  <si>
    <t xml:space="preserve">   - fun_insert_bancos.sql</t>
  </si>
  <si>
    <t xml:space="preserve">   - fun_update_bancos.sql</t>
  </si>
  <si>
    <t xml:space="preserve">   - fun_delete_bancos.sql</t>
  </si>
  <si>
    <t>fun_caja_diario.sql (Cálculo y cierre de caja diaria)</t>
  </si>
  <si>
    <t xml:space="preserve">   - fun_insert_cargo.sql</t>
  </si>
  <si>
    <t xml:space="preserve">   - fun_update_cargos.sql</t>
  </si>
  <si>
    <t xml:space="preserve">   - fun_delete_cargos.sql</t>
  </si>
  <si>
    <t>fun_fact.sql (Función principal de facturación general)</t>
  </si>
  <si>
    <t xml:space="preserve">   - fun_insert_cat_mat.sql</t>
  </si>
  <si>
    <t xml:space="preserve">   - fun_update_cat_mat_prim.sql</t>
  </si>
  <si>
    <t xml:space="preserve">   - fun_delete_cat_mat_prim.sql</t>
  </si>
  <si>
    <t>fun_kardex_mat_prim.sql (Gestión de movimientos de inventario de materia prima)</t>
  </si>
  <si>
    <t xml:space="preserve">   - fun_insert_ciudades.sql</t>
  </si>
  <si>
    <t xml:space="preserve">   - fun_update_ciudades.sql</t>
  </si>
  <si>
    <t xml:space="preserve">   - fun_delete_ciudades.sql</t>
  </si>
  <si>
    <t>fun_kardex_prod.sql (Gestión de movimientos de inventario de producto terminado)</t>
  </si>
  <si>
    <t xml:space="preserve">   - fun_insert_cliente.sql</t>
  </si>
  <si>
    <t xml:space="preserve">   - fun_update_clientes.sql</t>
  </si>
  <si>
    <t xml:space="preserve">   - fun_delete_clientes.sql</t>
  </si>
  <si>
    <t>fun_listar_fact.sql (Listado de facturas)</t>
  </si>
  <si>
    <t xml:space="preserve">   - fun_insert_departamento.sql</t>
  </si>
  <si>
    <t xml:space="preserve">   - fun_update_departamentos.sql</t>
  </si>
  <si>
    <t xml:space="preserve">   - fun_delete_departamentos.sql</t>
  </si>
  <si>
    <t xml:space="preserve">   - fun_insert_devolucion.sql</t>
  </si>
  <si>
    <t xml:space="preserve">   - fun_update_detalle_factura.sql</t>
  </si>
  <si>
    <t xml:space="preserve">   - fun_delete_detalle_factura.sql</t>
  </si>
  <si>
    <t xml:space="preserve">   - fun_insert_empleados.sql</t>
  </si>
  <si>
    <t xml:space="preserve">   - fun_update_devolucion.sql</t>
  </si>
  <si>
    <t xml:space="preserve">   - fun_delete_devolucion.sql</t>
  </si>
  <si>
    <t xml:space="preserve">   - fun_insert_especializacion.sql</t>
  </si>
  <si>
    <t xml:space="preserve">   - fun_update_empleados.sql</t>
  </si>
  <si>
    <t xml:space="preserve">   - fun_delete_empleados.sql</t>
  </si>
  <si>
    <t xml:space="preserve">   - fun_insert_estado_fact.sql</t>
  </si>
  <si>
    <t xml:space="preserve">   - fun_update_estado_fact.sql</t>
  </si>
  <si>
    <t xml:space="preserve">   - fun_delete_estado_fact.sql</t>
  </si>
  <si>
    <t xml:space="preserve">   - fun_insert_instrumento_kit.sql</t>
  </si>
  <si>
    <t xml:space="preserve">   - fun_update_facturas.sql</t>
  </si>
  <si>
    <t xml:space="preserve">   - fun_delete_factura_completa.sql</t>
  </si>
  <si>
    <t xml:space="preserve">   - fun_insert_instrumentos (añadir_validacion).sql</t>
  </si>
  <si>
    <t xml:space="preserve">   - fun_update_historico_mat_prima.sql</t>
  </si>
  <si>
    <t xml:space="preserve">   - fun_delete_historico_mat_prima.sql</t>
  </si>
  <si>
    <t xml:space="preserve">   - fun_insert_kits.sql</t>
  </si>
  <si>
    <t xml:space="preserve">   - fun_update_instrumentos(añadir_validaciones).sql</t>
  </si>
  <si>
    <t xml:space="preserve">   - fun_delete_instrumentos.sql</t>
  </si>
  <si>
    <t xml:space="preserve">   - fun_insert_mat_prima_proveedor.sql</t>
  </si>
  <si>
    <t xml:space="preserve">   - fun_update_kardex_mat_prima.sql</t>
  </si>
  <si>
    <t xml:space="preserve">   - fun_delete_instrumentos_kit.sql</t>
  </si>
  <si>
    <t xml:space="preserve">   - fun_insert_materia_primas.sql</t>
  </si>
  <si>
    <t xml:space="preserve">   - fun_update_kardex_productos.sql</t>
  </si>
  <si>
    <t xml:space="preserve">   - fun_delete_kardex_mat_prima.sql</t>
  </si>
  <si>
    <t xml:space="preserve">   - fun_insert_menu.sql</t>
  </si>
  <si>
    <t xml:space="preserve">   - fun_update_kit.sql</t>
  </si>
  <si>
    <t xml:space="preserve">   - fun_delete_kardex_productos.sql</t>
  </si>
  <si>
    <t xml:space="preserve">   - fun_insert_menu_user.sql</t>
  </si>
  <si>
    <t xml:space="preserve">   - fun_update_mat_prima_proveedor.sql</t>
  </si>
  <si>
    <t xml:space="preserve">   - fun_delete_kit.sql</t>
  </si>
  <si>
    <t xml:space="preserve">   - fun_insert_producto.sql</t>
  </si>
  <si>
    <t xml:space="preserve">   - fun_update_materia_primas.sql</t>
  </si>
  <si>
    <t xml:space="preserve">   - fun_delete_mat_prima_proveedor.sql</t>
  </si>
  <si>
    <t xml:space="preserve">   - fun_insert_prov.sql</t>
  </si>
  <si>
    <t xml:space="preserve">   - fun_update_menu.sql</t>
  </si>
  <si>
    <t xml:space="preserve">   - fun_delete_materia_primas.sql</t>
  </si>
  <si>
    <t xml:space="preserve">   - fun_insert_tipo_doc.sql</t>
  </si>
  <si>
    <t xml:space="preserve">   - fun_update_menu_user.sql</t>
  </si>
  <si>
    <t xml:space="preserve">   - fun_delete_menu.sql</t>
  </si>
  <si>
    <t xml:space="preserve">   - fun_insert_tipo_sangre.sql</t>
  </si>
  <si>
    <t xml:space="preserve">   - fun_update_movimiento_a_produccion.sql</t>
  </si>
  <si>
    <t xml:space="preserve">   - fun_delete_menu_user.sql</t>
  </si>
  <si>
    <t xml:space="preserve">   - fun_insert_user.sql</t>
  </si>
  <si>
    <t xml:space="preserve">   - fun_update_movimiento_bodega.sql</t>
  </si>
  <si>
    <t xml:space="preserve">   - fun_delete_movimiento_a_produccion.sql</t>
  </si>
  <si>
    <t xml:space="preserve">   - fun_update_parametros.sql</t>
  </si>
  <si>
    <t xml:space="preserve">   - fun_delete_movimiento_bodega.sql</t>
  </si>
  <si>
    <t xml:space="preserve">   - fun_update_producto.sql</t>
  </si>
  <si>
    <t xml:space="preserve">   - fun_delete_producto.sql</t>
  </si>
  <si>
    <t xml:space="preserve">   - fun_update_proveedores.sql</t>
  </si>
  <si>
    <t xml:space="preserve">   - fun_delete_proveedores.sql</t>
  </si>
  <si>
    <t xml:space="preserve">   - fun_update_tab_instrumentos_kit.sql</t>
  </si>
  <si>
    <t xml:space="preserve">   - fun_delete_tipo_documento.sql</t>
  </si>
  <si>
    <t xml:space="preserve">   - fun_update_tipo_documentos.sql</t>
  </si>
  <si>
    <t xml:space="preserve">   - fun_delete_tipo_especializacion.sql</t>
  </si>
  <si>
    <t xml:space="preserve">   - fun_update_tipo_especializacion.sql</t>
  </si>
  <si>
    <t xml:space="preserve">   - fun_delete_tipo_sangre.sql</t>
  </si>
  <si>
    <t xml:space="preserve">   - fun_update_tipo_sangre.sql</t>
  </si>
  <si>
    <t xml:space="preserve">   - fun_delete_user.sql</t>
  </si>
  <si>
    <t xml:space="preserve">   - fun_update_user.sql</t>
  </si>
  <si>
    <t>Transaccion - Carga del sistema</t>
  </si>
  <si>
    <t>Soporte para autocompletar registro en el navegador.</t>
  </si>
  <si>
    <t>Al iniciar como cliente, el sistema debe mostrar un header con: Logo Specialized, Nombre Specialized, Barra de búsqueda, Botón de carrito, Icono de usuario junto a su nombre, botón de salir.</t>
  </si>
  <si>
    <t>La barra de búsqueda debe ser dinámica e ir mostrando resultados según lo que se escriba, si se borra el buscado, el sistema debe volver a mostrar todos los productos.</t>
  </si>
  <si>
    <t>Tanto el logo como el nombre "Specialized" al momento de dar click deben redirigir al inicio del scroll de la página de cliente.</t>
  </si>
  <si>
    <t>EL botón de carrito debe desplegar un menú derecho (sidebar).</t>
  </si>
  <si>
    <t>El carrito, si no hay productos añadidos debe mostrar un botón "Ver Productos" que al dar click cierra el menú de carrito y vuelve a la vista principal de productos.</t>
  </si>
  <si>
    <t>Al añadir productos al carrito, el icono de este en la parte superior derecha debe mostrar un circulo rojo con el numero exacto que se añada al carrito.</t>
  </si>
  <si>
    <t>Si se reduce más de 1 cantidad, el producto desaparece del carrito.</t>
  </si>
  <si>
    <t>Al tener productos añadidos, en el menú (sidebar) de carrito, deben aparecer los productos con su nombre, precio, una opción para añadir o reducir cantidades y un botón con ícono de basura para eliminar el ítem.</t>
  </si>
  <si>
    <t>En la parte inferior del sidebar de carrito, el sistema debe calcular el total de productos añadidos al carrito.</t>
  </si>
  <si>
    <t>Al hacer click en el botón "Proceder al Pago -&gt;"  el sistema debe mostrar un modal con el mensaje "Funcionalidad de pago próximamente".</t>
  </si>
  <si>
    <t>Al dar click en el ícono de usuario, junto al nombre, el sistema debe desplegar un modal con el nombre "Modificar Perfil", con los campos: (Nombre de Usuario, Email, Télefono).</t>
  </si>
  <si>
    <t>El modal debe contener los datos del usuario actual en los campos correspondientes.</t>
  </si>
  <si>
    <t>Al dar click al botón de salir el sistema debe mostrar un modal de confirmación con el mensaje: "¿Estás seguro de que deseas cerrar sesión?".</t>
  </si>
  <si>
    <t>El botón "Aceptar" debe redirigir a la landing, el botón "Cancelar" debe mantener la sesión y cerrar el modal.</t>
  </si>
  <si>
    <t>Antes de la sección de productos debe haber un título y una descripción del sistema "SDI (Special Dental Instruments)".</t>
  </si>
  <si>
    <t>La sección de productos debe tener las siguientes etiquetas de filtro: "Todos, Estética, Esterilización, Endodoncia, Periodoncia, Kits".</t>
  </si>
  <si>
    <t>Los filtros deben ser funcionales, al dar click a algún filtro debe traer los productos de la categoría seleccionada.</t>
  </si>
  <si>
    <t>Los productos deben estar contenidos en tarjetas, con una etiqueta distintiva de su categoría, su imagen, su nombre, su descripción y su precio.</t>
  </si>
  <si>
    <t>Cada tarjeta debe tener un botón "+" que al dar click debe añadir el producto al carrito.</t>
  </si>
  <si>
    <t>La página debe tener un scroll funcional.</t>
  </si>
  <si>
    <t>El modal debe contener los botones "Cambiar Contraseña", "Cancelar" y "Guardar Cambios".</t>
  </si>
  <si>
    <t>El botón "Cambiar Contraseña" abre un modal para el cambio de contraseña con los campos (Contraseña Actual, Nueva Contraseña, Confirmar Nueva Contraseña).</t>
  </si>
  <si>
    <t>Los campos "Nueva Contraseña" y "Confirmar Nueva Contraseña" deben tener textos de validaciones debajo del campo.</t>
  </si>
  <si>
    <t>Si al enviar datos tras dar click en "Guardar Cambios" y algún campo está mal el sistema debe mostrar el error correspondiente según el campo.</t>
  </si>
  <si>
    <t>El botón "Cancelar" debe cerrar el modal y dejar al usuario en la vista de productos.</t>
  </si>
  <si>
    <t>Tras clickear "Guardar Cambios" y la actualización sea exitosa el sistema debe mostrar un mensaje que dice "Perfil actualizado correctamente" y cerrar el modal dejando visible los productos.</t>
  </si>
  <si>
    <t>Tras clickear "Cambiar Contraseña" y los campos no tengan ningún error, el sistema debe mostrar un mensaje "Contraseña cambiada con éxito".</t>
  </si>
  <si>
    <t>Tras clickear "Cambiar Contraseña" y los campos tengan algún error, el sistema debe mostrar un mensaje de error según el campo que falló.</t>
  </si>
  <si>
    <t>Al clickear el botón "Cancelar" el sistema debe cerrar el modal y dejar visibles los productos.</t>
  </si>
  <si>
    <t>Al expirar el tiempo del token, el sistema debe mostrar un modal con el título "Sesión Caducada", con el mensaje "Tu sesión se ha cerrado automáticamente por seguridad debido a inactividad o expiración del token."</t>
  </si>
  <si>
    <t>Al dar click en "¿Olvidaste tu contraseña?" el sistema debe abrir un modal con el título "Recuperar Contraseña" y el mensaje "Ingresa tu nombre de usuario para buscar tu cuenta.".</t>
  </si>
  <si>
    <t>El modal debe mostrar un campo para ingresar el "Nombre de usuario" y si se ingresa un dato debe proceder a buscar el registro en el sistema, junto con el botón "Buscar" funcional.</t>
  </si>
  <si>
    <t>Si al dar click en el botón "Buscar" y el campo contiene un user incorrecto, el sistema debe mostrar un modal con el mensaje "Usuario no encontrado" y un botón aceptar.</t>
  </si>
  <si>
    <t>Si al dar click en el botón "Buscar" el campo está vacío el sistema debe mostrar un modal con el mensaje "Ingresa tu usuario" y un botón aceptar.</t>
  </si>
  <si>
    <t>El modal de "sesión caducada" debe contener un botón "Aceptar y Salir" que al dar click en este, debe cerrar la sesión automáticamente y redirigir a la landing.</t>
  </si>
  <si>
    <t>El sistema debe verificar si el user ingresado corresponde a un usuario ya registrado, si el user no corresponde a un usuario el sistema debe mostrar un cuadro de modal que indique que el usuario no se encuentra.</t>
  </si>
  <si>
    <t>Si el user sí está registrado, el sistema debe abrir un nuevo modal con el título "Elige un método" y el mensaje "¿Cómo quieres recibir tu código de recuperación?".</t>
  </si>
  <si>
    <t>El modal debe mostrar dos opciones, la opción "Enviar a Email (correo_registrado@dominio.com)" y la opción "Enviar SMS (Télefono_registrado)".</t>
  </si>
  <si>
    <t>El modal debe mostrar el botón "Atrás" que regresa al modal de buscar usuario.</t>
  </si>
  <si>
    <t>Al dar click en el botón "Enviar a Email" el sistema debe simular un envío al email, generando un código aleatorio, abriendo un modal con el texto "SIMULACIÓN: Tu código es "código_generado".</t>
  </si>
  <si>
    <t>Despliegue de Información: Mostrar descripción y productos al hacer clic en una categoría.</t>
  </si>
  <si>
    <t>olvidar contraseña + olvidé usuario</t>
  </si>
  <si>
    <t>Tras clickear "Aceptar" en el modal del código, el sistema debe abrir un nuevo modal con el título "Código Enviado", con la descripción "Ingresa el código de 6 dígitos y tu nueva contraseña."</t>
  </si>
  <si>
    <t>El sistema debe mostrar tres, uno para ingresar el código de recuperación y otros dos campos para ingresar la nueva contraseña, la contraseña ingresada en el campo superior debe ser igual a la ingresada en el campo inferior, de lo contrario el sistema debe mostrar un cuadro de texto que indique que las contraseñas no son iguales.</t>
  </si>
  <si>
    <t>Al cambiar la contraseña satisfactoriamente, el sistema debe mostrar un nuevo modal con el título "¡Listo!" junto con un mensaje "Tu contraseña ha sido actualizada".</t>
  </si>
  <si>
    <t>Sección "¡Hola, Amigo!" con mensaje motivacional junto enlace "INICIAR SESIÓN" visible y funcional.</t>
  </si>
  <si>
    <t>Sección "¡Bienvenido de nuevo!" junto enlace "REGISTRARSE" visible y funcional.</t>
  </si>
  <si>
    <t>Interacción Dinámica de Métricas: Al accionar (click) cualquier tarjeta de estadísticas, el sistema debe inicializar y desplegar un modal de gestión contextualizado al módulo de la métrica seleccionada (Excepto en las tarjetas "Mayor venta" y "Menor producto en stock".</t>
  </si>
  <si>
    <t>Visibilidad de Inventario General: La tarjeta de Gestión "Productos en inventario" debe consolidar la sumatoria de todos los instrumentos y kits que tengan el estado ind_vivo = TRUE.</t>
  </si>
  <si>
    <t>En instrumentos, el sistema debe desplegar un listado con vistas en tarjeta de todos los instrumentos, con su cantidad disponible, vista previa de la imagen, nombre, especialización a la que pertenece, referencia (id), y botones para actualizar y eliminar.</t>
  </si>
  <si>
    <t>Los modales de detalles de instrumentos deben tener su botón "x" o "Cerrar" en la parte inferior para cerrar los detalles de un instrumento.</t>
  </si>
  <si>
    <t>El modal "Editar Instrumento" debe traer información actual del instrumento, campos rellenados con los datos actuales del instrumento.</t>
  </si>
  <si>
    <t>Tras actualización exitosa, el sistema debe mostrar un modal con el título "¡Éxito!", una descripción y el botón "Aceptar" que cierra todos los modales al interactuar con él.</t>
  </si>
  <si>
    <t>El sistema no debe dejar guardar, ni crear un instrumento nuevo si hay campos en rojo, en dado caso que pase estas validaciones, debe mostrar un modal con el título "Datos inválidos" con un mensaje descriptivo y amigable para el usuario, junto con el botón "Cerrar", para volver a la edición o creación de un instrumento.</t>
  </si>
  <si>
    <t>Al dar click en cualquier tarjeta de cualquier instrumento, el sistema debe abrir una vista detallada del instrumento (Mostrando su imagen, nombre, especializacion, referencia, cantidad actual, stock min/max, material, lote y su registro invima).</t>
  </si>
  <si>
    <t>Desde la vista de tarjetas, al interactuar con el botón "Lápiz" también debe abrir el modal "Editar Instrumento".</t>
  </si>
  <si>
    <t>El sistema debe mostrar la tarjeta "Instrumentos" y la tarjeta "Kits" junto con su breve descripción.</t>
  </si>
  <si>
    <t>En Kits, el sistema debe desplegar un listado con vistas en tarjeta de todos los Kits, con su cantidad disponible, vista previa de la imagen, nombre, especialización a la que pertenece, referencia (id), y botones para actualizar y eliminar.</t>
  </si>
  <si>
    <t>Al dar click en la tarjeta "Agregar Nuevo" se debe abrir el modal  "Nuevo registro" con los campos necesarios para agregar un nuevo instrumental o kit (Nombre Instrumento/kit, Cantidad, Lote,etc).</t>
  </si>
  <si>
    <t>Los modales de detalles de kits deben tener su botón "x" o "Cerrar" en la parte inferior para cerrar los detalles de un kit.</t>
  </si>
  <si>
    <t>Al dar click en cualquier tarjeta de cualquier kit, el sistema debe abrir una vista detallada del kit (Mostrando su imagen, nombre, especializacion, referencia, cantidad actual, stock min/max y el contenido del kit (instrumentos que tiene).</t>
  </si>
  <si>
    <t>Mejor que use la imagen ya asignada a instrumento o kits</t>
  </si>
  <si>
    <t>Dentro del modal "Editar Kit", debe haber un menú en la parte derecha con el nombre "Contenido del Kit" y una breve descripción, este menú debe permitir agregar y eliminar instrumentos a un kit (Mín. 3, Máx. 10).</t>
  </si>
  <si>
    <t>Botón "+ Agregar Instrumento" funcional, al dar click en este, el sistma debe agregar un nuevo campo para ingresar un nuevo instrumento al kit.</t>
  </si>
  <si>
    <t>Botón "Basura" funcional, al dar click en este, el sistema debe borrar el campo para agregar instrumentos.</t>
  </si>
  <si>
    <t>Modal "Editar Kit", debe traer de la base de datos, información correspondiente para llenar los campos (Especialización, Buscar instrumento…).</t>
  </si>
  <si>
    <t>Modal "Editar instrumento", debe traer de la base de datos, información correspondiente para llenar los campos (Especialización).</t>
  </si>
  <si>
    <t>Desde la vista de tarjetas, al interactuar con el botón "Lápiz" también debe abrir el modal "Editar Kit".</t>
  </si>
  <si>
    <t>El modal "Editar Kit" debe traer información actual del Kit, campos rellenados con los datos actuales del instrumento.</t>
  </si>
  <si>
    <t>Al dar click en el botón "Editar" dentro del modal de detalles de un instrumento, el sistema debe abrir un nuevo modal llamado "Editar Instrumento" con los campos: Especialización, Nombre Instrumento, Cantidad Disponible, Lote, Registro INVIMA, Numeral en kit (Si aplica), Tipo de material, Imagen, Stock min/max), junto con los botones "Cancelar" y "Guardar".</t>
  </si>
  <si>
    <t>Al dar click en el botón "Editar" dentro del modal de detalles de un kit, el sistema debe abrir un nuevo modal llamado "Editar Kit" con los campos: Nombre del Kit, Especialización, Cantidad Disponible, Stock Mínimo, Stock Máximo, Imagen, Stock min/max), junto con los botones "Cancelar" y "Guardar".</t>
  </si>
  <si>
    <t>El sistema no debe dejar guardar, ni crear un kit nuevo si hay campos en rojo, en dado caso que pase estas validaciones, debe mostrar un modal con el título "Datos inválidos" con un mensaje descriptivo y amigable para el usuario, junto con el botón "Cerrar", para volver a la edición o creación de un kit.</t>
  </si>
  <si>
    <t>El botón "Basura" en la vista tarjetas de instrumentos,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</si>
  <si>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El botón "Basura" en la vista tarjetas de kits,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</si>
  <si>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Implementada</t>
  </si>
  <si>
    <t>El sistema debe mostrar el botón "&lt;- Volver al Inicio" que redirecciona al dashboard principal.</t>
  </si>
  <si>
    <t>Título "Materia Prima" visible.</t>
  </si>
  <si>
    <t>Botón "Registrar Movimiento" funcional, al dar click en este, el sistema debe abrir un modal con el título "Registrar Movimiento".</t>
  </si>
  <si>
    <t>Dentro del modal "Registrar Movimiento", el sistema debe mostrar los campos: Proveedor, Materia Prima, Tipo Movimiento, Cantidad Unidades, Observaciones. Con los botones "Cancelar" y "Registrar".</t>
  </si>
  <si>
    <t>El sistema debe obligar al usuario a seleccionar un proveedor para mostrar las materias primas correspondientes. Al seleccionar un proveedor, el sistema debe habilitar el campo "Materia Prima". Al hacer click sobre estos campos el sistema debe desplegar una listado.</t>
  </si>
  <si>
    <t>El campo "Tipo Movimiento" debe desplegar un listado al hacer click sobre este, con las siguientes opciones: "1. Entrada (Compra)", "2. Salida (Producción)", "3. Ajuste (Entrada +)" y "4. Daño (Salida -)".</t>
  </si>
  <si>
    <t>Botón "Cancelar" cierra el modal de "Registrar Movimiento".</t>
  </si>
  <si>
    <t>Al llenar todos los campos de forma correcta y dar click en el botón "Registrar", el sistema debe mostrar un modal con el texto "¿Confirmar registro de movimiento? Esta acción afectará el inventario.", si el usuario da click en "Cancelar" este modal se cierra.</t>
  </si>
  <si>
    <t>Si el usuario da click en "Aceptar", el botón "Registrar" debe pasar a "Guardando…", si todo salió bien, el sistema debe abrir un nuevo modal con el texto "Movimiento registrado con éxito.", tras dar click en el botón "Aceptar" el sistema debe cerrar todos los modales, y los cambios se deben haber realizado.</t>
  </si>
  <si>
    <t>Si el usuario da click en "Aceptar", el botón "Registrar" debe pasar a "Guardando…", si algo salio mal, el sistema debe abrir un nuevo modal con el texto "Error:" y un mensaje específico y amigable, tras dar click en el botón "Aceptar" el sistema debe dejar en la vista el panel "Registrar Movimiento" visible nuevamente.</t>
  </si>
  <si>
    <t>El sistema debe mostrar una vista en tarjetas de las categorías disponibles junto a su nombre.</t>
  </si>
  <si>
    <t>Al dar click en una tarjeta, el sistema debe abrir un nuevo menú para gestionar las materias primas de la categoría seleccionada.</t>
  </si>
  <si>
    <t>El sistema debe mostrar el botón "&lt;- Volver a categorías" que redirige a la vista anterior de categorías.</t>
  </si>
  <si>
    <t>El sistema debe mostrar el título "Materias Primas: (Categoría Seleccionada)".</t>
  </si>
  <si>
    <t>El sistema debe mostrar el botón " + Agregar Nueva Materia" que al dar click en este, el sistema debe abrir un nuevo modal-formulario con los siguientes campos: Nombre Materia Prima, Stock Mínimo / Máximo, Imagen, Proveedor, Valor de Medida, Unidad de medida Lote Inicial, Tipo Material, Cantidad Inicial.</t>
  </si>
  <si>
    <t>Al dar click en el botón "Guardar" y todos los campos sean válidos, el sistema debe abrir un modal con el título "¡Éxito!" con el mensaje "Registro guardado correctamente" y el botón "Aceptar", que al dar click en este, cierra todos los modales y dejar visible la gestión de la categoría seleccioanda anteriormente.</t>
  </si>
  <si>
    <t>Los campos "Proveedor" y "Unidad de Medida" deben desplegar listas de opciones al dar click en estas.</t>
  </si>
  <si>
    <t>Al dar click en el botón "Guardar" y algún campo sea inválido, el sistema debe abrir un modal con el título "Datos inválidos" con el mensaje "Por favor corrija los campos marcados en rojo." y el botón "Cerrar", que al dar click en este, cierra el modal de error y deja visible el modal de creación de la materia prima.</t>
  </si>
  <si>
    <t>El sistema debe desplegar una vista en tarjetas de las materias primas existentes según la categoría, con su respectiva imagen, nombre, id de referencia, cantidad disponible, stock mínimo y los botones "Editar", "Detalle" y "Eliminar".</t>
  </si>
  <si>
    <t>Al dar click en el botón "Editar" el sistema debe abrir el modal "Editar Materia Prima", el modal debe tener los siguientes campos: Nombre Materia Prima, Stock Mín/Máx, Imagen, Proveedor, Valor de medida, Unidad de medida.</t>
  </si>
  <si>
    <t>Los campos deben tener los datos actuales de la materia prima seleccionada.</t>
  </si>
  <si>
    <t>Al dar click sobre el botón "Detalle", el sistema debe abrir un modal detallado con la información de la materia prima seleccionada con los datos: Título "Detalles de Materia" con el nombre de la materia prima seleccionada, ID, ID de la categoría, Cantidad disponible, Medida, Stock Mín/Máx y su imagen.</t>
  </si>
  <si>
    <t>Este modal debe contar con una "x" en la esquina superior derecha y un botón "Cerrar" que al hacer click sobre estos, el sistema cierra el modal de detalle.</t>
  </si>
  <si>
    <t>Al dar click sobre el botón "Eliminar", el sistema debe mostrar un modal de confirmación con el mensaje: "¿Estás Seguro? Esta acción no se puede deshacer. Se eliminará la materia prima." Junto con dos botones "Sí, eliminar" y "Cancelar".</t>
  </si>
  <si>
    <t>Toda la sección de "Materia Prima", debe contar con un botón flotante con el nombre "Administrar Categorías".</t>
  </si>
  <si>
    <t>Al dar click sobre "Administrar categorías" el sistema debe abrir un modal para gestionar las categorías, debe mostrar todas las categorías disponibles, su id, su nombre, el botón "Editar" y el botón "Eliminar".</t>
  </si>
  <si>
    <t>El modal de "Administrar Categorías" debe contar con dos botones en la esquina superior derecha: "+ Nuevo" para crear una nueva categoría y "X" para cerrar el modal.</t>
  </si>
  <si>
    <t>Al dar click sobre eliminar, el sistema debe mostrar un modal de confirmación de borrado, mensaje de éxito "Eliminado! - La materia prima ha sido eliminada", con el botón "OK" que al dar click sobre este, el sistema debe dejar visible la sección de materias primas de la categoría seleccionada.</t>
  </si>
  <si>
    <t>Al dar click al botón "+ Nuevo" el sistema debe abrir un nuevo modal con un campo "Nombre de Categoría" para añadir una nueva categoría, junto con los botones "X" para cerrar el modal, "Cancelar" para también cerrar el modal y el botón "Crear".</t>
  </si>
  <si>
    <t>Al dar click sobre el botón "Crear" y los datos sean válidos el sistema debe agregar la categoría a la vista de categorías y debe agregar la categoría al modal de "Administrar Categorías", y volver a dejar la vista de "Administrar Categorías".</t>
  </si>
  <si>
    <t>Al dar click sobre el botón "Editar", el sistema debe abrir un nuevo modal para editar el nombre de la categoría existente, junto a los botones "X" y "Cancelar" para cerrar el modal y el botón "Actualizar" para guardar los cambios realizados.</t>
  </si>
  <si>
    <t>Al dar click sobre el botón "Eliminar", el sistema debe eliminar de la vista la categoría seleccionada, si no depende de registros, si depende de registros el sistema no debe dejar borrar la categoría.</t>
  </si>
  <si>
    <t>Al entrar a la sección de historial, el sistema debe mostrar el título "Historial de Movimientos", con el mensaje "Seleccione el tipo de historial que desea consultar.".</t>
  </si>
  <si>
    <t>El sistema debe desplegar una vista de tarjetas con el tipo de historial que maneja el sistema.</t>
  </si>
  <si>
    <t>Al dar click sobre una tarjeta el sistema debe abrir un nuevo menú correspondiente a la tarjeta que se seleccionó.</t>
  </si>
  <si>
    <t>Dentro de la tarjeta "Movimientos Materia Prima", debe existir una flecha "&lt;-" para regresar a la sección de historial junto con un contador al otro extremo de la flecha, que muestre todos los registros actuales.</t>
  </si>
  <si>
    <t>Esta sección de historial de materia prima, debe contar con una barra de búsqueda predictiva, para buscar materia o proveedor, junto con filtros para seleccionar rangos del mes del año actual y para filtrar por fecha desde - hasta, funcionales.</t>
  </si>
  <si>
    <t>Los registros deben incluir un ícono indicativo del movimiento, su nombre, el proveedor, la fecha del movimiento, un indicativo con color según movimiento, indicador de cantidad por unidad de medida y sus observaciones.</t>
  </si>
  <si>
    <t>El sistema debe incluir un scroll funcional para los registros.</t>
  </si>
  <si>
    <t>Las imágenes de las tarjetas de selección deben tener un tamaño de 100x100px y estar dentro de un contenedor circular blanco.</t>
  </si>
  <si>
    <t>El título de la tarjeta de selección debe utilizar mayúsculas sostenidas y un peso de fuente de 800 (Extra Bold).</t>
  </si>
  <si>
    <t>El hover de las tarjetas de selección debe aplicar un transform: scale(1.02) y una sombra azulada de rgba(54, 73, 143, 0.2).</t>
  </si>
  <si>
    <t>Las tarjetas de kits individuales deben mostrar un badge de disponibilidad en la esquina superior derecha con fondo blanco opaco (0.9).</t>
  </si>
  <si>
    <t>El encabezado de la gestión de instrumentos debe tener un padding de 20px y una animación de entrada 'fadeIn' de 0.3s.</t>
  </si>
  <si>
    <t>Los botones de acción en las tarjetas (Lápiz, Basura) deben tener una opacidad de 1 y ser siempre visibles.</t>
  </si>
  <si>
    <t>La tabla de datos debe tener encabezados pegajosos (sticky) con un z-index de 10 para facilitar el scroll.</t>
  </si>
  <si>
    <t>El color de la fila de encabezado en la tabla de instrumental debe coincidir con el color de la tarjeta de selección (#36498f).</t>
  </si>
  <si>
    <t>Los modales detallados deben cargar la imagen del instrumento con un tamaño máximo de 250px de altura.</t>
  </si>
  <si>
    <t>El scroll de la vista de kits debe ser vertical y suave, aplicado al contenedor principal .a2.</t>
  </si>
  <si>
    <t>(UI / UX) La vista de selección debe utilizar tarjetas con el color institucional azul para "Instrumentos" y verde para "Kits".</t>
  </si>
  <si>
    <t>(USABILIDAD) La barra de búsqueda de instrumentos debe tener un ícono de lupa posicionado a 15px a la izquierda del input.</t>
  </si>
  <si>
    <t>El sistema debe filtrar los resultados automáticamente al ingresar texto, sin presionar "Enter".</t>
  </si>
  <si>
    <t>Los procesos de edición deben cargar datos previos en los campos del formulario automáticamente.</t>
  </si>
  <si>
    <t>El campo "Cantidad Disponible" en instrumental debe resaltarse visualmente si el valor es 0.</t>
  </si>
  <si>
    <t>Los kits deben validar un contenido mínimo de 3 instrumentos y un máximo de 10 instrumentos vinculados.</t>
  </si>
  <si>
    <t>El botón "Agregar Instrumento" en el modal de kits debe añadir dinámicamente campos de selección al formulario.</t>
  </si>
  <si>
    <t>Permitir actualizar precios de productos.</t>
  </si>
  <si>
    <t>El sistema cumple con normativas locales e internacionales, como las leyes de protección de datos personales.</t>
  </si>
  <si>
    <t>Indicador visual de fortaleza de contraseña (Falta una mayúscula, Falta un número, etc).</t>
  </si>
  <si>
    <t>Enlace a términos y condiciones en nueva ventana.</t>
  </si>
  <si>
    <t>El sistema debe permitir registrar información sobre los productos disponibles, con su respectiva descripción, categoría, precio, cantidad y fotografías del instrumental.</t>
  </si>
  <si>
    <t>NO SIRVE</t>
  </si>
  <si>
    <t>Raise exception</t>
  </si>
  <si>
    <t>?</t>
  </si>
  <si>
    <t>Mensaje "Iniciando..." al presionar botón login</t>
  </si>
  <si>
    <t>El sistema debe mostrar un menú lateral izquierdo funcional con los accesos directos a "Instrumental", "Materia Prima", "Productos", "Finanzas","Historial".</t>
  </si>
  <si>
    <t>Botón "Finanzas" redirecciona a la gestión de las finanzas de la empresa.</t>
  </si>
  <si>
    <t>Botón "Productos" redirecciona a la gestión de los productos comerciales.</t>
  </si>
  <si>
    <t>Opción "Notificaciones", abre un modal que muestra de manera rápida si hay o no productos / materias primas que se encuentran en bajo stock.</t>
  </si>
  <si>
    <t>Opción "Ayuda y Soporte" abre un modal con los datós básicos de contacto de los desarrolladores del sistema.</t>
  </si>
  <si>
    <t>Las insignias de "Bajo Stock" en las tarjetas de instrumental deben ser de color rojo #dc3545.</t>
  </si>
  <si>
    <t>REQUERIMIENTOS FUNCIONALES DE LA GESTIÓN DE PRODUCTOS DENTRO DE LA PÁGINA WEB</t>
  </si>
  <si>
    <t>REQUERIMIENTOS NO FUNCIONALES DE LA GESTIÓN DE PRODUCTOS DENTRO DE LA PÁGINA WEB</t>
  </si>
  <si>
    <t>REQUERIMIENTOS NO FUNCIONALES DE LA GESTIÓN DE FINANZAS DENTRO DE LA PÁGINA WEB</t>
  </si>
  <si>
    <t>REQUERIMIENTOS FUNCIONALES DE LA GESTIÓN DE FINANZAS DENTRO DE LA PÁGINA WEB</t>
  </si>
  <si>
    <t>La tarjeta "Productos en inventario" al hacer click sobre ella, el sistema debe redirigir al menú "Productos" para realizar la gestión correspondiente.</t>
  </si>
  <si>
    <t>El sistema muestra una barra de búsqueda funcional, junto con filtros para buscar productos "Habilitados" o "Inhabilitados" y para filtrar por si son "Instrumentos" o "Kits".</t>
  </si>
  <si>
    <t>En la parte derecha de la barra de búsqueda el sistema muestra el botón "Agregar Nuevo".</t>
  </si>
  <si>
    <t>"Agregar Nuevo" tiene los campos "Nombre del Producto", "Precio de venta", "Imagen del Producto", "Tipo de item" y el campo "Buscar Instrumento/Kit" según la selección del "Tipo de item". Junto con los botones "Cancelar" y "Guardar".</t>
  </si>
  <si>
    <t>Al envíar el form, el sistema muestra un Sweet Alert "Cargando" verificando los datos, si todo sale bien el sistema muestra un Sweet Alert de éxito, si algo sale mal el sistema muestra un Sweet Alert de error con el mensaje específico.</t>
  </si>
  <si>
    <t>El sistema desplega una vista de tarjetas de los productos comerciales creados, las tarjetas contienen, campo para imagen, su precio, su nombre, su tipo (Instrumento / Kit), su referente específico, el lápiz para editar y la basura para inhabilitar el registro.</t>
  </si>
  <si>
    <t>El sistema filtra según la selección del usuario, por defecto carga los productos "Habilitados", al darle click al botón "Inhabilitados" el sistema procede a cargar los productos inhabilitados.</t>
  </si>
  <si>
    <t>Al inhabilitar un producto, este pasará al menú de inhabilitados y se dejará de mostrar en la landing como producto comercial.</t>
  </si>
  <si>
    <t>Los productos inhabilitados tienen el ícono de la basurita, pero en color verde y una flecha hacia arriba, indicando que puedes restaurar el registro.</t>
  </si>
  <si>
    <t>Si el usuario desea restaurar un producto, el sistema muestra un Sweet Alert de confirmación, tras confirmar el sistema muestra un nuevo Sweet Alert de éxito.</t>
  </si>
  <si>
    <t>Si el usuario desea inhabilitar un producto, el sistema muestra un Sweet Alert de confirmación, tras confirmar la inhabilitación, el sistema muestra un Sweet Alert de éxito.</t>
  </si>
  <si>
    <t>Al dar click sobre el botón del "Lápiz" el sistema muestra el modal de edición con los campos "Nombre del producto", "Precio de venta", "Imagen del Producto", "Tipo de item" y "Buscar Instrumento / kit".</t>
  </si>
  <si>
    <t>Tras actualización exitosa, el sistema muestra primero un Sweet Alert "Cargando", para si todo salió bien, el sistema mostrará un Sweet Alert de éxito. De lo contrario el sistema mostrará un Sweet Alert rojo indicando el error</t>
  </si>
  <si>
    <t>* Requerimientos Productos</t>
  </si>
  <si>
    <t>* Requerimientos Finanzas</t>
  </si>
  <si>
    <t>Scroll funcional en el menú de productos.</t>
  </si>
  <si>
    <t>Al entrar al menú "Finanzas" el botón de este menú debe resaltar ligeramente sobre los otros.</t>
  </si>
  <si>
    <t>El sistema muestra un título y subtitulo resumiendo la funcionalidad del menú.</t>
  </si>
  <si>
    <t>En la parte superior de la derecha el sistema tiene un sistema de filtros funcionales por fecha mensual y anual.</t>
  </si>
  <si>
    <t>El sistema carga las tarjetas "Ingresos Mensuales", "Utilidad Neta del Mes", "Tasa de Retorno", "Alertas de Reabastecimiento".</t>
  </si>
  <si>
    <t>En la parte superior derecha el sistema tiene el botón "Exportar Excel", que descarga un excel con la siguiente información: "ID Factura, Fecha, Mes, Productos, Comprados, Cliente, Total, Medio de Pago.", según la fecha seleccionada.</t>
  </si>
  <si>
    <t>En caso de que no haya registros en la fecha seleccionada, el sistema muestra una sweet alert con el texto "Atención, No hay datos detallados para el periodo seleccionado.", y no descarga ningún excel.</t>
  </si>
  <si>
    <t>Debajo de las tarjetas principiales, el sistema mostrara el "Ticket Promedio Por Especialidad" en la parte izquierda de la página, el sistema calcula automáticamente el valor promedio de las transacciones agrupadas por especialidad odontológica (Endodoncia, Periodoncia, etc.) en un periodo de tiempo determinado.</t>
  </si>
  <si>
    <t>En la parte derecha, el sistema mostrara un pastel que se llena automáticamente con los medios de pago seleccionados, en el momento de registrar una venta.</t>
  </si>
  <si>
    <t>En la parte inferior de la sección de finanzas, el sistema muestra las "Previsiones de Compra (Stock Crítico)", que, al momento que la cantidad de una materia prima esté igual o menor al stock crítico, se mostrará en esta sección inferior con la posibilidad de mandar un mensaje de whatsapp al proveedor específico.</t>
  </si>
  <si>
    <t>El título "Análisis Financiero..." debe usar el color institucional --welcome-blue (#36498f).</t>
  </si>
  <si>
    <t>El tamaño de fuente del título principal debe ser exactamente de 1.8rem.</t>
  </si>
  <si>
    <t>El contenedor principal de finanzas debe usar el color de fondo --bg-primary (#f5f7fa).</t>
  </si>
  <si>
    <t>El contenedor general debe tener un padding uniforme de 30px en todos sus lados.</t>
  </si>
  <si>
    <t>Al cargar el módulo, debe ejecutarse una animación fadeIn con una duración de 0.5s.</t>
  </si>
  <si>
    <t>El grupo de filtros (mes/año) debe tener bordes redondeados tipo píldora de 30px.</t>
  </si>
  <si>
    <t>Los selectores de fecha deben proyectar una sombra suave definida por la variable --card-shadow.</t>
  </si>
  <si>
    <t>El botón "Exportar Excel" debe usar un color verde sólido #087d4e con texto en blanco y negrita.</t>
  </si>
  <si>
    <t>Las tarjetas de KPI y gráficos deben tener un border-radius de 20px para un aspecto moderno.</t>
  </si>
  <si>
    <t>El icono de "Utilidad Neta" debe usar un color verde esmeralda para denotar éxito financiero.</t>
  </si>
  <si>
    <t>La tarjeta de "Tasa de Retorno" debe usar el color de advertencia naranja #f59e0b.</t>
  </si>
  <si>
    <t>El gráfico de medios de pago debe tener un diámetro de 200px con un hueco central de 140px.</t>
  </si>
  <si>
    <t>El medio de pago "Efectivo" debe representarse visualmente con el azul oscuro #36498f.</t>
  </si>
  <si>
    <t>El medio de pago "Transferencia" debe representarse visualmente con el verde #087d4e.</t>
  </si>
  <si>
    <t>El medio de pago "Tarjeta" debe representarse visualmente con el naranja vibrante #f59e0b.</t>
  </si>
  <si>
    <t>Las barras de ticket promedio deben tener una altura de 12px y un degradado de azul a verde.</t>
  </si>
  <si>
    <t>Las barras de especialidad deben animar su ancho en 1s usando una curva cubic-bezier.</t>
  </si>
  <si>
    <t>El botón de contacto al proveedor debe usar el color oficial de WhatsApp #25d366 y ser circular.</t>
  </si>
  <si>
    <t>Mientras los datos financieros cargan, debe mostrarse un icono fa-spinner animado con fa-spin.</t>
  </si>
  <si>
    <t>La rejilla de indicadores debe ser auto-ajustable (auto-fit) con un ancho mínimo por tarjeta de 240px.</t>
  </si>
  <si>
    <t>El sistema debe manejar valores de tipo DECIMAL(15,2) en la base de datos para evitar errores de redondeo en los cálculos de ingresos y utilidad.</t>
  </si>
  <si>
    <t>Todas las cifras monetarias deben mostrarse en formato COP (Peso Colombiano) usando la API Intl.NumberFormat de JavaScript para asegurar la correcta lectura (ej: $ 1.000.000).</t>
  </si>
  <si>
    <t>El archivo generado por la librería SheetJS debe ser compatible con Microsoft Excel 2013 en adelante y LibreOffice Calc.</t>
  </si>
  <si>
    <t xml:space="preserve"> El sistema debe impedir la descarga del reporte si la consulta retorna cero registros, notificando al usuario mediante una alerta informativa.</t>
  </si>
  <si>
    <t>Al cambiar el mes o año en los filtros, todas las gráficas y tarjetas de KPI deben actualizarse simultáneamente en menos de 1 segundo.</t>
  </si>
  <si>
    <t>El sistema debe resaltar visualmente en rojo (#dc3545) si el margen de utilidad calculado es inferior al 15%, como medida de alerta financiera.</t>
  </si>
  <si>
    <t>Los archivos Excel generados no deben guardarse en el servidor, sino descargarse directamente al equipo del usuario para proteger la privacidad financiera.</t>
  </si>
  <si>
    <t xml:space="preserve"> Las tarjetas deben tener un box-shadow de 0 10px 30px var(--card-shadow) que cambie al hacer hover.</t>
  </si>
  <si>
    <t>Cada tarjeta debe incluir un borde inferior de 5px con el color institucional del área que representa.</t>
  </si>
  <si>
    <t>Los iconos de fondo en las tarjetas deben estar rotados y escalados con transform: translate(10%, 20%) y opacidad de 0.05.</t>
  </si>
  <si>
    <t>La vista raíz debe cargar con la clase kardex-slide-in-up (duración 0.5s).</t>
  </si>
  <si>
    <t xml:space="preserve"> Al cargar cualquier historial, el sistema debe eliminar automáticamente cualquier Botón de Acción Flotante (FAB) residual de otros módulos.</t>
  </si>
  <si>
    <t>Los nombres de las tarjetas deben usar var(--text-main) para asegurar legibilidad en modo claro y oscuro.</t>
  </si>
  <si>
    <t>El botón de "atrás" debe tener un degradado de azul a verde y forma circular (40x40px).</t>
  </si>
  <si>
    <t xml:space="preserve"> Los encabezados (th) deben ser blancos con texto negro y borde inferior sutil (rgba(0,0,0,0.1)).</t>
  </si>
  <si>
    <t>La tabla de bodega debe tener un max-height de 60vh con overflow-y: auto.</t>
  </si>
  <si>
    <t>Cada registro de fecha debe ir acompañado del icono fa-regular fa-clock en color gris mutado.</t>
  </si>
  <si>
    <t xml:space="preserve"> Si no hay imagen, debe mostrarse un cuadro gris de 30x30px con un icono fa-box.</t>
  </si>
  <si>
    <t>El número de lote debe aparecer dentro de un recuadro con fondo var(--bg-primary) y bordes de 6px.</t>
  </si>
  <si>
    <t>La cantidad debe resaltar con un font-size de 1.15em en negrita.</t>
  </si>
  <si>
    <t>Debajo de la cantidad debe aparecer la unidad de medida (ej: "Metros") en una fuente de 0.75em.</t>
  </si>
  <si>
    <t xml:space="preserve"> La búsqueda debe ignorar mayúsculas/minúsculas (toLowerCase) al comparar material o proveedor.</t>
  </si>
  <si>
    <t>Cada material en esta vista debe llevar un distintivo que diga "(En proceso)" con opacidad reducida.</t>
  </si>
  <si>
    <t>La última columna debe mostrar obligatoriamente la fecha en que el material salió de bodega inicial.</t>
  </si>
  <si>
    <t>Se debe utilizar el icono fa-solid fa-industry para representar la fábrica.</t>
  </si>
  <si>
    <t>La fecha de ingreso a producción debe aparecer en color verde sólido y negrita.</t>
  </si>
  <si>
    <t>La tabla completa debe aparecer con un efecto de fadeIn de 0.6s.</t>
  </si>
  <si>
    <t>Las celdas de "Cantidad en Línea" deben estar alineadas a la izquierda pero con estructura de columna interna.</t>
  </si>
  <si>
    <r>
      <rPr>
        <b/>
        <sz val="11"/>
        <color theme="1"/>
        <rFont val="Aptos Narrow"/>
        <family val="2"/>
      </rPr>
      <t>(Bodega Inicial)</t>
    </r>
    <r>
      <rPr>
        <sz val="11"/>
        <color theme="1"/>
        <rFont val="Aptos Narrow"/>
      </rPr>
      <t xml:space="preserve"> El borde de acento y los títulos de Bodega deben usar el azul oscuro --welcome-blue (#36498f).</t>
    </r>
  </si>
  <si>
    <r>
      <rPr>
        <b/>
        <sz val="11"/>
        <color theme="1"/>
        <rFont val="Aptos Narrow"/>
        <family val="2"/>
      </rPr>
      <t>(Navegación)</t>
    </r>
    <r>
      <rPr>
        <sz val="11"/>
        <color theme="1"/>
        <rFont val="Aptos Narrow"/>
      </rPr>
      <t xml:space="preserve"> El contenedor de selección debe usar display: grid con un ancho mínimo por tarjeta de 320px.</t>
    </r>
  </si>
  <si>
    <r>
      <rPr>
        <b/>
        <sz val="11"/>
        <color theme="1"/>
        <rFont val="Aptos Narrow"/>
        <family val="2"/>
      </rPr>
      <t>(Línea de Producción)</t>
    </r>
    <r>
      <rPr>
        <sz val="11"/>
        <color theme="1"/>
        <rFont val="Aptos Narrow"/>
      </rPr>
      <t xml:space="preserve"> El color predominante para esta sección es el Verde Producción (#087d4e).</t>
    </r>
  </si>
  <si>
    <r>
      <rPr>
        <b/>
        <sz val="11"/>
        <color theme="1"/>
        <rFont val="Aptos Narrow"/>
        <family val="2"/>
      </rPr>
      <t>(Kardex de Insumos)</t>
    </r>
    <r>
      <rPr>
        <sz val="11"/>
        <color theme="1"/>
        <rFont val="Aptos Narrow"/>
        <family val="2"/>
      </rPr>
      <t xml:space="preserve"> Se debe renderizar un pseudo-elemento vertical de 2px de ancho que conecte visualmente los iconos de cada movimiento.</t>
    </r>
  </si>
  <si>
    <t>Los iconos de movimiento deben tener un box-shadow de 0 4px 8px rgba(0,0,0,0.1).</t>
  </si>
  <si>
    <t>El movimiento de entrada debe usar el color #087d4e (Verde).</t>
  </si>
  <si>
    <t xml:space="preserve"> El movimiento de salida debe usar el color #ff9800 (Naranja).</t>
  </si>
  <si>
    <t xml:space="preserve"> El movimiento de ajuste debe usar el color #2196f3 (Azul).</t>
  </si>
  <si>
    <t xml:space="preserve"> El movimiento de baja por daño debe usar el color #f44336 (Rojo).</t>
  </si>
  <si>
    <t>Al pasar el mouse sobre una tarjeta de Kardex, esta debe subir 3px (translateY).</t>
  </si>
  <si>
    <t>Si el texto contiene "Proveedor:", el sistema debe separar lógicamente el nombre del proveedor del comentario.</t>
  </si>
  <si>
    <t>Cada tarjeta debe aparecer con un retraso escalonado (animation-delay) de 0.02s respecto a la anterior.</t>
  </si>
  <si>
    <t>El selector de mes debe filtrar exclusivamente sobre el año actual del sistema.</t>
  </si>
  <si>
    <t>Las fechas deben convertirse a formato largo (ej: "25 de Abril de 2026, 10:30 AM").</t>
  </si>
  <si>
    <r>
      <rPr>
        <b/>
        <sz val="11"/>
        <color theme="1"/>
        <rFont val="Aptos Narrow"/>
        <family val="2"/>
      </rPr>
      <t xml:space="preserve">(Fabricación Instrumental y Ensamblaje de Kits) </t>
    </r>
    <r>
      <rPr>
        <sz val="11"/>
        <color theme="1"/>
        <rFont val="Aptos Narrow"/>
        <family val="2"/>
      </rPr>
      <t>Estos datos son obligatorios y deben aparecer con etiquetas en negrita (color: var(--text-muted)).</t>
    </r>
  </si>
  <si>
    <t>Las miniaturas deben ser circulares o con bordes muy suaves (4px) para no romper la estética.</t>
  </si>
  <si>
    <t>La especialización (Endodoncia, etc.) debe aparecer en una fuente de peso 500.</t>
  </si>
  <si>
    <t>Icono de Ensamblaje: Uso del icono fa-solid fa-cubes en color púrpura (#8b5cf6).</t>
  </si>
  <si>
    <t>Icono de Fabricación: Uso del icono fa-solid fa-hammer en color ámbar (#f59e0b).</t>
  </si>
  <si>
    <t>Las cantidades fabricadas deben llevar un prefijo + para indicar ingreso al stock de productos finales.</t>
  </si>
  <si>
    <r>
      <rPr>
        <b/>
        <sz val="11"/>
        <color theme="1"/>
        <rFont val="Aptos Narrow"/>
        <family val="2"/>
      </rPr>
      <t xml:space="preserve">(Historial de Ventas y Devoluciones) </t>
    </r>
    <r>
      <rPr>
        <sz val="11"/>
        <color theme="1"/>
        <rFont val="Aptos Narrow"/>
        <family val="2"/>
      </rPr>
      <t>Solo en la vista de Devoluciones debe aparecer el botón rojo de "Gestionar Productos".</t>
    </r>
  </si>
  <si>
    <t>La columna de factura debe tener un color ámbar (#d97706) para resaltar como enlace de referencia.</t>
  </si>
  <si>
    <t>Las ventas deben mostrar la cantidad con signo - y color rojo.</t>
  </si>
  <si>
    <t>Las devoluciones resueltas deben mostrar la cantidad con signo + y color verde.</t>
  </si>
  <si>
    <t>El campo de observaciones debe incluir un title para que el usuario pueda leer el texto completo al posar el mouse.</t>
  </si>
  <si>
    <t>Ordenamiento: Al hacer clic en "N° Factura", el icono debe cambiar entre fa-sort-up y fa-sort-down.</t>
  </si>
  <si>
    <t>Se debe mostrar tanto el nombre como el ID del instrumento o kit involucrado.</t>
  </si>
  <si>
    <r>
      <rPr>
        <b/>
        <sz val="11"/>
        <color theme="1"/>
        <rFont val="Aptos Narrow"/>
        <family val="2"/>
      </rPr>
      <t>(Gestión de Devoluciones)</t>
    </r>
    <r>
      <rPr>
        <sz val="11"/>
        <color theme="1"/>
        <rFont val="Aptos Narrow"/>
        <family val="2"/>
      </rPr>
      <t xml:space="preserve">  Los botones de "Reparado" y "Desechar" deben tener un ancho uniforme y usar iconos de fa-wrench y fa-trash-can.</t>
    </r>
  </si>
  <si>
    <t>El botón de "Reparado" debe usar el color esmeralda (#10b981).</t>
  </si>
  <si>
    <t>El botón de "Desechar" debe usar el color gris neutro (#6b7280).</t>
  </si>
  <si>
    <t>Al "Reparar", el sistema debe enviar un comando SQL que incremente el stock del producto original.</t>
  </si>
  <si>
    <t xml:space="preserve"> Al "Desechar", el registro se marca como resuelto pero no altera las cantidades del inventario.</t>
  </si>
  <si>
    <t xml:space="preserve"> La tabla debe recargarse inmediatamente después de cada resolución exitosa.</t>
  </si>
  <si>
    <t>Se debe enviar el id_factura de forma limpia para que el generador PHP la reconozca.</t>
  </si>
  <si>
    <t>El botón "Ver Factura" debe tener un icono de fa-file-invoice y fondo verde oscuro.</t>
  </si>
  <si>
    <t>Cada sección tiene su propio endpoint: get_bodega, get_produccion, get_kardex_instrumentos, etc.</t>
  </si>
  <si>
    <t>Si el servidor devuelve un error, se debe mostrar un icono de advertencia (fa-triangle-exclamation) en lugar de una tabla vacía.</t>
  </si>
  <si>
    <t xml:space="preserve"> Si no hay resultados, se debe mostrar un mensaje amigable con un icono de carpeta abierta (opacity: 0.3).</t>
  </si>
  <si>
    <t>Todas las peticiones deben incluir un timestamp (t=...) para evitar que el navegador guarde en caché datos obsoletos.</t>
  </si>
  <si>
    <t>El sistema usa preferiblemente 'Segoe UI' o la fuente del sistema para máxima claridad en los números.</t>
  </si>
  <si>
    <t>Los botones de resolución deben estar deshabilitados (disabled) mientras la petición está en curso para evitar doble clic.</t>
  </si>
  <si>
    <t>Se debe usar un spinner de FontAwesome (fa-spinner fa-spin) de tamaño 2x o 4x durante la espera de datos.</t>
  </si>
  <si>
    <t>el sistema es de admin</t>
  </si>
  <si>
    <t>funcional en los demas menus excepto en las tarjetas principales</t>
  </si>
  <si>
    <r>
      <rPr>
        <b/>
        <sz val="11"/>
        <color theme="1"/>
        <rFont val="Aptos Narrow"/>
        <family val="2"/>
      </rPr>
      <t>(Técnicos, UX y Rendimiento Global)</t>
    </r>
    <r>
      <rPr>
        <sz val="11"/>
        <color theme="1"/>
        <rFont val="Aptos Narrow"/>
        <family val="2"/>
      </rPr>
      <t xml:space="preserve"> Todo el módulo debe consumir variables como --bg-secondary y --card-shadow para soportar Dark Mode.</t>
    </r>
  </si>
  <si>
    <t>La cabecera de la factura debe incluir un borde superior con un degradado lineal (linear-gradient) de azul institucional (#36498f) a verde esmeralda (#087d4e).</t>
  </si>
  <si>
    <r>
      <rPr>
        <b/>
        <sz val="11"/>
        <color theme="1"/>
        <rFont val="Aptos Narrow"/>
        <family val="2"/>
      </rPr>
      <t>(Visualización de Factura)</t>
    </r>
    <r>
      <rPr>
        <sz val="11"/>
        <color theme="1"/>
        <rFont val="Aptos Narrow"/>
        <family val="2"/>
      </rPr>
      <t xml:space="preserve"> La factura debe cargarse siempre en una nueva ventana del navegador para no perder el contexto del historial.</t>
    </r>
  </si>
  <si>
    <t>El título principal "FACTURA COMERCIAL" debe usar el color verde (#087d4e) en negrita y alineación derecha.</t>
  </si>
  <si>
    <t>Los datos informativos de la empresa (Dirección, Teléfono, Email) deben usar un color gris neutro (#666) con iconos de FontAwesome alineados.</t>
  </si>
  <si>
    <t xml:space="preserve"> Los encabezados de sección ("FACTURADO A:", "INFORMACIÓN DE PAGO:") deben estar en mayúsculas, color gris y con una línea divisoria inferior de 1px.</t>
  </si>
  <si>
    <t xml:space="preserve"> Los nombres de clientes y métodos de pago deben resaltar en color azul oscuro/negro (#333) y peso de fuente 700.</t>
  </si>
  <si>
    <t>El encabezado de la tabla de productos debe tener un fondo azul oscuro (#36498f) con texto en blanco para alto contraste.</t>
  </si>
  <si>
    <t>Las columnas de cantidad, precio y total deben estar alineadas a la derecha o centro para facilitar la lectura de cifras.</t>
  </si>
  <si>
    <t xml:space="preserve"> El desglose de "Contenido del Kit" debe aparecer dentro de un recuadro con un borde izquierdo de 3px color verde y fondo gris muy tenue.</t>
  </si>
  <si>
    <t xml:space="preserve"> Los elementos dentro de un kit deben usar un icono de caja (fa-box) y fuente de tamaño 0.85rem.</t>
  </si>
  <si>
    <t>El campo "Total Factura" debe usar una fuente de tamaño superior (1.4rem) y color azul profundo para ser el foco visual del cierre.</t>
  </si>
  <si>
    <t xml:space="preserve"> El botón de "Imprimir / Descargar PDF" debe estar fijo en la esquina inferior derecha (position: fixed) para no estorbar la lectura.</t>
  </si>
  <si>
    <t>Al pasar el cursor sobre el botón de imprimir, este debe elevarse suavemente (transform: translateY(-2px)) y aumentar su sombra.</t>
  </si>
  <si>
    <t>El documento debe mantener un margen interno (padding) de al menos 40px para simular una hoja física.</t>
  </si>
  <si>
    <t xml:space="preserve"> El logo de la empresa debe estar posicionado en la esquina superior izquierda con un tamaño máximo de 180px de ancho.</t>
  </si>
  <si>
    <t>La página debe usar la directiva CSS @media print para ocultar botones y fondos innecesarios al momento de generar el PDF físico.</t>
  </si>
  <si>
    <r>
      <rPr>
        <b/>
        <sz val="11"/>
        <color theme="1"/>
        <rFont val="Aptos Narrow"/>
        <family val="2"/>
      </rPr>
      <t>(Estética y Diseño Visual (UI/UX))</t>
    </r>
    <r>
      <rPr>
        <sz val="11"/>
        <color theme="1"/>
        <rFont val="Aptos Narrow"/>
      </rPr>
      <t xml:space="preserve"> El área de trabajo debe usar un fondo gris muy claro o blanco hueso (#f4f6f9) para dar sensación de limpieza y amplitud.</t>
    </r>
  </si>
  <si>
    <t>El título "Inventario de Productos" debe usar una fuente en color azul marino oscuro (#1e3a8a o similar).</t>
  </si>
  <si>
    <t>Todo el bloque de herramientas y tarjetas debe estar contenido en un gran panel blanco con bordes redondeados (15px) y una sombra sutil.</t>
  </si>
  <si>
    <t>El buscador debe tener un fondo gris claro suave (#f1f5f9), sin bordes fuertes, y un radio de esquina de 50px.</t>
  </si>
  <si>
    <t>El nombre del producto debe ir en color negro o gris oscuro (#1e293b) con peso 700 para máxima legibilidad.</t>
  </si>
  <si>
    <r>
      <rPr>
        <b/>
        <sz val="11"/>
        <color theme="1"/>
        <rFont val="Aptos Narrow"/>
        <family val="2"/>
      </rPr>
      <t xml:space="preserve">Botones, Filtros y Píldoras (Interacciones) </t>
    </r>
    <r>
      <rPr>
        <sz val="11"/>
        <color theme="1"/>
        <rFont val="Aptos Narrow"/>
        <family val="2"/>
      </rPr>
      <t>Botón Agregar Nuevo: Debe resaltar en color azul marino oscuro con texto blanco, ubicado estratégicamente a la derecha del buscador.</t>
    </r>
  </si>
  <si>
    <r>
      <rPr>
        <b/>
        <sz val="11"/>
        <color theme="1"/>
        <rFont val="Aptos Narrow"/>
        <family val="2"/>
      </rPr>
      <t xml:space="preserve">(Tarjetas de Producto (Cards Grid)) </t>
    </r>
    <r>
      <rPr>
        <sz val="11"/>
        <color theme="1"/>
        <rFont val="Aptos Narrow"/>
        <family val="2"/>
      </rPr>
      <t>Cada tarjeta debe tener fondo blanco puro (#ffffff), con un borde muy sutil (1px solid #e2e8f0) y esquinas redondeadas.</t>
    </r>
  </si>
  <si>
    <t>Las tarjetas deben tener un efecto de elevación mediante box-shadow: 0 4px 6px rgba(0,0,0,0.05).</t>
  </si>
  <si>
    <t>El precio debe estar incrustado en una cápsula azul con texto blanco, posicionada sobre la esquina inferior derecha de la imagen.</t>
  </si>
  <si>
    <t>El botón de edición debe ser un icono de lápiz azul sin fondo (o fondo transparente) para no sobrecargar la vista.</t>
  </si>
  <si>
    <t>El botón de eliminar/inhabilitar debe ser una papelera blanca sobre un fondo rojo sólido con esquinas redondeadas.</t>
  </si>
  <si>
    <r>
      <rPr>
        <b/>
        <sz val="11"/>
        <color theme="1"/>
        <rFont val="Aptos Narrow"/>
        <family val="2"/>
      </rPr>
      <t xml:space="preserve">(Lógica de Interfaz) </t>
    </r>
    <r>
      <rPr>
        <sz val="11"/>
        <color theme="1"/>
        <rFont val="Aptos Narrow"/>
        <family val="2"/>
      </rPr>
      <t>Al pasar el cursor sobre una tarjeta, esta debe aplicar una transición suave (transition: 0.3s) y aumentar ligeramente su sombra.</t>
    </r>
  </si>
  <si>
    <t>Alternar entre "Instrumentos" y "Kits" debe actualizar la cuadrícula en un tiempo menor a 200ms.</t>
  </si>
  <si>
    <t>Habilitados (ACTIVO) - Fondo: Azul marino sólido. Texto e Icono: Blanco. Icono: fa-circle-check (Check).</t>
  </si>
  <si>
    <t>Habilitados (INACTIVO) - Fondo: Blanco puro. Borde: Azul marino (1px solid). Texto e Icono: Azul marino. Icono: fa-circle-check sin rellenar.</t>
  </si>
  <si>
    <t>Los filtros funcionan como un botón de opción (Radio). Al activar uno, el otro pasa automáticamente a estado INACTIVO.</t>
  </si>
  <si>
    <t>Inhabilitados (ACTIVO) - Fondo: Rojo sólido (#ef4444). Texto e Icono: Blanco. Icono: fa-circle-xmark o similar.</t>
  </si>
  <si>
    <t>Inhabilitados (INACTIVO) - Fondo: Blanco puro. Borde: Rojo (1px solid #ef4444). Texto e Icono: Rojo. Icono: fa-circle-xmark sin rellenar.</t>
  </si>
  <si>
    <t>El texto fijo "Filtrando por:" debe aparecer en color gris neutro claro (#94a3b8) con un tamaño de fuente de 0.9rem.</t>
  </si>
  <si>
    <t>Junto al nombre de la categoría, debe renderizarse un botón circular pequeño.</t>
  </si>
  <si>
    <t>El fondo del botón de cierre debe ser Rojo Coral (#ff4d4d).</t>
  </si>
  <si>
    <t>En el centro del círculo rojo debe haber una "x" minúscula (font-weight: bold) en color blanco.</t>
  </si>
  <si>
    <t>Al hacer clic en el botón rojo con la "X", el sistema debe destruir el filtro de categoría activo, devolver la píldora a su estado original y renderizar de nuevo la lista completa de productos.</t>
  </si>
  <si>
    <t>Instrumentos (INACTIVO) - Fondo: Blanco puro (#ffffff), Borde: Azul/Púrpura claro (1px solid #3b82f6), Texto e Icono: Azul/Púrpura claro.
Icono: Icono de instrumental dental (fa-tooth o similar).</t>
  </si>
  <si>
    <t>Instrumentos (ACTIVO) - Fondo: Azul/Púrpura claro sólido, Borde: Azul/Púrpura claro sólido, Texto e Icono: Blanco puro (#ffffff).
Acción: Se activa el texto flotante "Filtrando por: Instrumentos [x]".</t>
  </si>
  <si>
    <t>Kits (ACTIVO) - Fondo: Verde Esmeralda sólido, Borde: Verde Esmeralda sólido, Texto e Icono: Blanco puro (#ffffff).
Acción: Se activa el texto flotante "Filtrando por: Kits [x]".</t>
  </si>
  <si>
    <t>Kits (INACTIVO) - Fondo: Blanco puro (#ffffff), Borde: Verde Esmeralda (1px solid #10b981), Texto e Icono: Verde Esmeralda.
Icono: Icono de botiquín/caja (fa-kit-medical o similar).</t>
  </si>
  <si>
    <r>
      <rPr>
        <b/>
        <sz val="11"/>
        <color theme="1"/>
        <rFont val="Aptos Narrow"/>
        <family val="2"/>
      </rPr>
      <t>(Header / Barra Superior)</t>
    </r>
    <r>
      <rPr>
        <sz val="11"/>
        <color theme="1"/>
        <rFont val="Aptos Narrow"/>
      </rPr>
      <t xml:space="preserve"> Colores verde, blanco y azul corporativos.</t>
    </r>
  </si>
  <si>
    <t>El header debe tener una altura fija de 120px en escritorio.</t>
  </si>
  <si>
    <t>Identidad Corporativa: El fondo debe usar un degradado lineal horizontal (to right) de azul institucional (#36498f) a verde esmeralda (#087d4e).</t>
  </si>
  <si>
    <t>Logo Escudo: La imagen del escudo debe tener 100px de alto con 10px de padding interno.</t>
  </si>
  <si>
    <t>Logo Texto: La imagen del texto "Specialized" debe tener 60px de alto y un margen inferior de 20px.</t>
  </si>
  <si>
    <t>Contenedor del Logo: El contenedor que agrupa escudo + texto debe tener fondo blanco, altura de 90px y bordes redondeados de 10px.</t>
  </si>
  <si>
    <r>
      <rPr>
        <b/>
        <sz val="11"/>
        <color theme="1"/>
        <rFont val="Aptos Narrow"/>
      </rPr>
      <t>(Barra de Búsqueda)</t>
    </r>
    <r>
      <rPr>
        <sz val="11"/>
        <color theme="1"/>
        <rFont val="Aptos Narrow"/>
      </rPr>
      <t xml:space="preserve"> Interfaz Intuitiva: Barra de búsqueda centrada y de fácil acceso visual.</t>
    </r>
  </si>
  <si>
    <t>Ancho Buscador - Campo de entrada definido con 500px de ancho estático y 40px de altura para una cómoda legibilidad.</t>
  </si>
  <si>
    <t>Bordes Buscador - Formato de píldora continua aplicando border-radius perimetral de 20px.</t>
  </si>
  <si>
    <t>Sombra Buscador - Elevación inicial leve (rgba(0,0,0,0.1)) que se duplica visualmente en intensidad al interactuar (focus).</t>
  </si>
  <si>
    <t>Responsividad - Modificación por MediaQueries para ocultar permanentemente el input en pantallas telefónicas (&lt; 768px).</t>
  </si>
  <si>
    <r>
      <rPr>
        <b/>
        <sz val="11"/>
        <color theme="1"/>
        <rFont val="Aptos Narrow"/>
      </rPr>
      <t>(Botón "Ingresar")</t>
    </r>
    <r>
      <rPr>
        <sz val="11"/>
        <color theme="1"/>
        <rFont val="Aptos Narrow"/>
        <family val="2"/>
      </rPr>
      <t xml:space="preserve"> Estilo Botón - Fondo blanco mate, texto principal oscuro (#1f1c2c) y bordes de radio pequeño (5px).</t>
    </r>
  </si>
  <si>
    <t>Hover Botón - Transición de color hacia un gris tenue (rgb(214,211,211)) acompañado de un escalamiento del 1.05.</t>
  </si>
  <si>
    <t>Enlace - Redireccionamiento explícito hacia el portal InicioSesion.html forzando su apertura en pestañas independientes (target="_blank").</t>
  </si>
  <si>
    <r>
      <rPr>
        <b/>
        <sz val="11"/>
        <color theme="1"/>
        <rFont val="Aptos Narrow"/>
      </rPr>
      <t>(Pestañas de Categorías)</t>
    </r>
    <r>
      <rPr>
        <sz val="11"/>
        <color theme="1"/>
        <rFont val="Aptos Narrow"/>
      </rPr>
      <t xml:space="preserve"> Barra de Pestañas - Fila de navegación horizontal inmersa en una franja con degradado gemelo al del header superior.</t>
    </r>
  </si>
  <si>
    <t>Pestaña Inactiva - Elementos con fondo blanco liso, tipografía oscura (#333) y diseño superior redondeado (8px).</t>
  </si>
  <si>
    <t>Hover Pestaña - Reacción visual iluminando el fondo en tono menta (#f0f8f0) y la tipografía en verde (#087d4e).</t>
  </si>
  <si>
    <t>Pestaña Activa - Delimitada físicamente mediante bordes gruesos de 2px de color negro en sus caras laterales y superior.</t>
  </si>
  <si>
    <t>Panel Desplegable - Contenedor fijado absolutamente (top 175px) que emerge usando animaciones Bezier sumamente elásticas.</t>
  </si>
  <si>
    <t>Cabecera del Panel - Encabezado interno tintado con degradado inverso (verde -&gt; azul) y textos formateados a 28px de tamaño.</t>
  </si>
  <si>
    <t>Categorías Disponibles - Acceso directo a las familias Estética, Esterilización, Endodoncia y Periodoncia.</t>
  </si>
  <si>
    <t>Comportamiento Toggle - La apertura se conmuta automáticamente si la sección ya estaba desplegada o si se detectan clics en el vacío.</t>
  </si>
  <si>
    <t>* Requerimientos Cliente Web</t>
  </si>
  <si>
    <t>La función de facturación debe ser capaz de procesar facturas con hasta 10 ítems sin degradación de rendimiento.</t>
  </si>
  <si>
    <t>REQUERIMIENTOS FUNCIONALES DE LA PÁGINA WEB DE CLIENTE</t>
  </si>
  <si>
    <t>REQUERIMIENTOS NO FUNCIONALES DE LA PÁGINA WEB DE CLIENTE</t>
  </si>
  <si>
    <r>
      <rPr>
        <b/>
        <sz val="11"/>
        <color theme="1"/>
        <rFont val="Aptos Narrow"/>
        <family val="2"/>
      </rPr>
      <t xml:space="preserve">(Barra de Navegación Superior (Navbar)) </t>
    </r>
    <r>
      <rPr>
        <sz val="11"/>
        <color theme="1"/>
        <rFont val="Aptos Narrow"/>
        <family val="2"/>
      </rPr>
      <t>La barra de navegación debe estar fija en la parte superior (position: fixed) con un z-index de 1000 para no perderla al hacer scroll.</t>
    </r>
  </si>
  <si>
    <t>La altura de la barra de navegación debe ser exactamente 80px (definida como variable CSS --nav-height).</t>
  </si>
  <si>
    <t>El fondo debe ser un degradado lineal de 135deg entre azul institucional (#36498f) y verde esmeralda (#087d4e).</t>
  </si>
  <si>
    <t>La barra debe proyectar una sombra de 0 4px 12px rgba(0, 0, 0, 0.15) para generar profundidad.</t>
  </si>
  <si>
    <t>La imagen del logo debe tener una altura de 50px con un efecto de drop-shadow (sombra proyectada).</t>
  </si>
  <si>
    <t>El texto "Specialized" debe ser blanco, peso tipográfico de 700, tamaño de 1.5rem y un espaciado entre letras (letter-spacing) de 0.5px.</t>
  </si>
  <si>
    <t>Todos los iconos de la barra (Carrito, Usuario, Logout) deben ser SVGs inline de 24x24px, color blanco (stroke: currentColor).</t>
  </si>
  <si>
    <t>Al pasar el cursor sobre cualquier botón de la barra, este debe subir 2px usando una transformación CSS (translateY(-2px)).</t>
  </si>
  <si>
    <r>
      <rPr>
        <b/>
        <sz val="11"/>
        <color theme="1"/>
        <rFont val="Aptos Narrow"/>
        <family val="2"/>
      </rPr>
      <t xml:space="preserve">(Barra de Búsqueda) </t>
    </r>
    <r>
      <rPr>
        <sz val="11"/>
        <color theme="1"/>
        <rFont val="Aptos Narrow"/>
        <family val="2"/>
      </rPr>
      <t>La barra de búsqueda debe tener bordes completamente redondeados mediante border-radius: 50px.</t>
    </r>
  </si>
  <si>
    <t>El fondo debe ser blanco con opacidad del 90% (rgba(255,255,255,0.9)) para integrarse estéticamente con el degradado del fondo.</t>
  </si>
  <si>
    <t>Al hacer foco en el campo, la barra debe escalar ligeramente en tamaño (scale(1.02)) y aumentar su sombra a 0 4px 12px para destacar.</t>
  </si>
  <si>
    <t>La barra de búsqueda debe ocultarse en pantallas menores a 768px de ancho, permaneciendo visible solo en versiones de escritorio.</t>
  </si>
  <si>
    <t>La búsqueda dinámica debe aplicar un retardo (debounce) de 500ms después de que el usuario deja de presionar teclas antes de enviar la petición.</t>
  </si>
  <si>
    <t>El campo de búsqueda no debe exceder en ningún caso los 500px de ancho total.</t>
  </si>
  <si>
    <r>
      <rPr>
        <b/>
        <sz val="11"/>
        <color theme="1"/>
        <rFont val="Aptos Narrow"/>
        <family val="2"/>
      </rPr>
      <t xml:space="preserve">(Badge del Carrito) </t>
    </r>
    <r>
      <rPr>
        <sz val="11"/>
        <color theme="1"/>
        <rFont val="Aptos Narrow"/>
        <family val="2"/>
      </rPr>
      <t>El contador de productos debe usar un color de fondo rojo coral (#ff4757) con el texto del número en color blanco.</t>
    </r>
  </si>
  <si>
    <t>Debe ser un círculo perfecto de 20x20px con una fuente legible de 0.75rem y peso tipográfico bold.</t>
  </si>
  <si>
    <t>Al pasar de 0 a 1 o más productos, el badge debe aparecer con una animación de escala basada en cubic-bezier(0.175, 0.885, 0.32, 1.275) para lograr un efecto rebote.</t>
  </si>
  <si>
    <t>El badge debe estar posicionado absolutamente sobre el icono del carrito en top: -8px; right: -8px.</t>
  </si>
  <si>
    <r>
      <rPr>
        <b/>
        <sz val="11"/>
        <color theme="1"/>
        <rFont val="Aptos Narrow"/>
        <family val="2"/>
      </rPr>
      <t xml:space="preserve">(Banner Principal (Hero)) </t>
    </r>
    <r>
      <rPr>
        <sz val="11"/>
        <color theme="1"/>
        <rFont val="Aptos Narrow"/>
        <family val="2"/>
      </rPr>
      <t>El banner debe usar un degradado muy suave entre azul institucional y verde esmeralda con una opacidad reducida al 5% (rgba(54,73,143,0.05)).</t>
    </r>
  </si>
  <si>
    <t>El texto principal "Instrumental Dental Premium" debe tener un tamaño de 2.5rem y color azul institucional (#36498f).</t>
  </si>
  <si>
    <t>El texto descriptivo debe ser gris neutro (#666), tamaño de 1.2rem, con un ancho de línea máximo de 800px y alineación centrada.</t>
  </si>
  <si>
    <t>En pantallas móviles menores a 576px, el título principal reduce su tamaño automáticamente a 2rem.</t>
  </si>
  <si>
    <r>
      <rPr>
        <b/>
        <sz val="11"/>
        <color theme="1"/>
        <rFont val="Aptos Narrow"/>
        <family val="2"/>
      </rPr>
      <t xml:space="preserve">(Filtros por Categoría (Tabs)) </t>
    </r>
    <r>
      <rPr>
        <sz val="11"/>
        <color theme="1"/>
        <rFont val="Aptos Narrow"/>
        <family val="2"/>
      </rPr>
      <t>Cada pestaña de filtrado debe tener forma de cápsula (border-radius: 50px) aplicando un padding interno de 10px 25px.</t>
    </r>
  </si>
  <si>
    <t>Debe mostrar fondo blanco, texto gris (#666), borde transparente y una sombra sutil (0 2px 5px rgba(0,0,0,0.05)).</t>
  </si>
  <si>
    <t>Debe mostrar fondo verde esmeralda (#087d4e), texto en color blanco y una sombra verde difuminada (0 5px 15px rgba(8,125,78,0.3)).</t>
  </si>
  <si>
    <t>Al pasar el cursor sobre una pestaña inactiva, esta debe elevarse 2px mediante transformaciones y aumentar el radio de su sombra.</t>
  </si>
  <si>
    <t>La barra debe listar dinámicamente: Todos, Estética, Esterilización, Endodoncia, Periodoncia y Kits.</t>
  </si>
  <si>
    <t>Los botones deben permitir el salto de línea (flex-wrap: wrap) para evitar desbordamientos horizontales en teléfonos.</t>
  </si>
  <si>
    <r>
      <rPr>
        <b/>
        <sz val="11"/>
        <color theme="1"/>
        <rFont val="Aptos Narrow"/>
        <family val="2"/>
      </rPr>
      <t xml:space="preserve">(Tarjetas de Producto (Grid)) </t>
    </r>
    <r>
      <rPr>
        <sz val="11"/>
        <color theme="1"/>
        <rFont val="Aptos Narrow"/>
        <family val="2"/>
      </rPr>
      <t>El contenedor de productos debe implementar CSS Grid usando repeat(auto-fill, minmax(280px, 1fr)) con una separación (gap) de 30px.</t>
    </r>
  </si>
  <si>
    <t>El contenedor general de productos no debe superar los 1400px de ancho y debe estar centrado horizontalmente.</t>
  </si>
  <si>
    <t>Las tarjetas deben usar fondo completamente blanco, esquinas redondeadas de 20px de radio y sombras suaves al ojo.</t>
  </si>
  <si>
    <t>Al posar el cursor encima, la tarjeta debe subir 10px (translateY(-10px)) y su sombra proyectada aumenta a 0 15px 40px.</t>
  </si>
  <si>
    <t>El contenedor superior de la imagen debe tener fondo gris claro neutro (#f8f9fa) y una altura fija y estándar de 200px.</t>
  </si>
  <si>
    <t>Al hacer hover sobre la tarjeta, la imagen del producto escalará al 110% (scale(1.1)) usando una transición fluida de 0.5 segundos.</t>
  </si>
  <si>
    <t>El nombre de la categoría del producto se muestra como una etiqueta flotante en la esquina superior izquierda con fondo cian (#00d2ff).</t>
  </si>
  <si>
    <t>Los productos cuya fecha de creación sea menor a 14 días mostrarán un indicador flotante "Nuevo" en la esquina superior derecha con degradado verde/cian.</t>
  </si>
  <si>
    <t>Utilizará una fuente con tamaño estándar de 1.2rem, peso visual de 700 y color oscuro neutro (#333).</t>
  </si>
  <si>
    <t>Letra pequeña de 0.9rem, color gris mate (#666), con un límite físico truncado a 60 caracteres terminando en puntos suspensivos (...).</t>
  </si>
  <si>
    <t>Letra destacada de 1.3rem, peso visual extra negrita de 800, color azul institucional (#36498f) aplicando formato local de moneda de Colombia.</t>
  </si>
  <si>
    <t>Elemento interactivo circular de 40x40px, fondo verde esmeralda institucional y un icono SVG de símbolo "+" en blanco.</t>
  </si>
  <si>
    <t>Al pasar el cursor sobre el botón de añadir, el color oscurecerá a un tono esmeralda profundo (#065f3b) y el icono "+" rotará 90 grados.</t>
  </si>
  <si>
    <t>Una vez presionado el botón "+", este alternará temporalmente su icono a un checkmark (✓) con fondo verde plano durante exactamente 1000ms.</t>
  </si>
  <si>
    <t>Para dispositivos de pantalla pequeña (&lt; 576px), el grid forzará la visualización apilada en 1 sola columna vertical completa (1fr).</t>
  </si>
  <si>
    <r>
      <rPr>
        <b/>
        <sz val="11"/>
        <color theme="1"/>
        <rFont val="Aptos Narrow"/>
        <family val="2"/>
      </rPr>
      <t xml:space="preserve">(Panel Lateral de Carrito (Drawer)) </t>
    </r>
    <r>
      <rPr>
        <sz val="11"/>
        <color theme="1"/>
        <rFont val="Aptos Narrow"/>
        <family val="2"/>
      </rPr>
      <t>El panel debe permanecer oculto fuera de pantalla (right: -100%) y deslizarse suavemente hacia adentro (right: 0) al activarse.</t>
    </r>
  </si>
  <si>
    <t>La transición lateral empleará una función de tiempo cubic-bezier(0.19, 1, 0.22, 1) con una duración controlada de 0.4s.</t>
  </si>
  <si>
    <t>Tendrá una anchura máxima de 400px en monitores grandes, mientras que en smartphones ocupará el 100% de la pantalla útil disponible.</t>
  </si>
  <si>
    <t>Fondo azul institucional sólido (#36498f), textos en blanco contrastante y un título de sección "Tu Carrito" ajustado a 1.4rem.</t>
  </si>
  <si>
    <t>Botón Cerrar - Icono interactivo en forma de equis ("X") en formato SVG de 24x24px, sin bordes ni colores de fondo adicionales.</t>
  </si>
  <si>
    <t>Imagen Item - Las imágenes de productos añadidos al carrito se reducirán proporcionalmente a un tamaño cuadrado compacto de 70x70px con esquinas de 10px.</t>
  </si>
  <si>
    <t>Precio Item - El valor monetario por unidad se pintará en verde esmeralda (#087d4e) con un grosor tipográfico intermedio de 600.</t>
  </si>
  <si>
    <t>Botones +/- - Pequeños selectores circulares de 25x25px con borde perimetral gris claro de 1px y fondo blanco interactivo.</t>
  </si>
  <si>
    <t>Botón Eliminar - Representado mediante un icono de papelera de reciclaje SVG coloreado en tono de advertencia rojo coral (#ff4757).</t>
  </si>
  <si>
    <t>Animación Items - Al ingresar nuevos productos a la vista del carrito, estos se dibujarán mediante un fundido suave (fadeIn) y un desplazamiento vertical de 10px.</t>
  </si>
  <si>
    <t>De no haber registros, se pintará un icono ilustrativo de carrito de 64px de alto en color gris claro acompañado de un botón "Ver Productos".</t>
  </si>
  <si>
    <t>El resumen de costos total del pedido usará una tipografía de 1.3rem con peso visual máximo (800) sobre fondo ligeramente grisáceo (#f9f9f9).</t>
  </si>
  <si>
    <t>"Proceder al Pago": Bloque verde esmeralda llamativo de ancho completo, bordes de 10px, texto bold y elevación de 2px al posicionar el cursor.</t>
  </si>
  <si>
    <t>Overlay - Se oscurecerá la sección principal del sitio mediante un telón translúcido (rgba(0,0,0,0.5)) que cerrará el menú del carrito al ser pulsado directamente.</t>
  </si>
  <si>
    <r>
      <rPr>
        <b/>
        <sz val="11"/>
        <color theme="1"/>
        <rFont val="Aptos Narrow"/>
        <family val="2"/>
      </rPr>
      <t xml:space="preserve">(Modales (Perfil y Contraseña)) </t>
    </r>
    <r>
      <rPr>
        <sz val="11"/>
        <color theme="1"/>
        <rFont val="Aptos Narrow"/>
        <family val="2"/>
      </rPr>
      <t>El fondo bloqueante (overlay) utilizará un tono oscuro traslúcido (rgba(0,0,0,0.5)) animando su visibilidad gradualmente en 0.3 segundos.</t>
    </r>
  </si>
  <si>
    <t>Cabecera Modal Perfil - Utiliza un fondo degradado institucional fluido (#36498f -&gt; #087d4e) junto a esquinas superiores redondeadas de 20px de radio.</t>
  </si>
  <si>
    <t>Cabecera Modal Contraseña - Conservará exactamente la misma paleta e inclinación de degradado para unificar la línea estética del sistema.</t>
  </si>
  <si>
    <t>Inputs de Formulario - Las cajas de texto tendrán espaciado interno de 12px, bordes limpios en gris neutro de 1px y esquinas suaves de 8px.</t>
  </si>
  <si>
    <t>Botón Guardar - Pintado con el gradiente de marca, implementando un efecto visual metálico o de brillo continuo que lo recorre transversalmente.</t>
  </si>
  <si>
    <t>Efecto Shine - Realizado puramente vía CSS mediante un pseudo-elemento ::before animado que viaja de left: -100% a left: 100% en medio segundo.</t>
  </si>
  <si>
    <t>Ojo de Contraseña - Icono interactivo fa-eye posicionado a la derecha del input de clave que permite alternar su visibilidad cambiando a fa-eye-slash.</t>
  </si>
  <si>
    <t>Validación en Tiempo Real - Mostrará advertencias visuales dinámicas de cumplimiento (longitud, caracteres especiales, mayúsculas) mediante texto rojo/verde.</t>
  </si>
  <si>
    <t>Validación de Coincidencia - Comprobación visual instantánea entre la clave nueva y su repetición (texto verde para éxito, rojo si difieren).</t>
  </si>
  <si>
    <r>
      <rPr>
        <b/>
        <sz val="11"/>
        <color theme="1"/>
        <rFont val="Aptos Narrow"/>
        <family val="2"/>
      </rPr>
      <t xml:space="preserve">(Alertas y Feedback (SweetAlert2)) </t>
    </r>
    <r>
      <rPr>
        <sz val="11"/>
        <color theme="1"/>
        <rFont val="Aptos Narrow"/>
        <family val="2"/>
      </rPr>
      <t>Éxito de Perfil - Despliegue de modal flotante SweetAlert2 con icono verde de verificación, barra de carga de tiempo (3000ms) y botón de cierre estándar.</t>
    </r>
  </si>
  <si>
    <t>Error de Perfil - Despliegue SweetAlert2 de fallo crítico que, una vez cerrado por el usuario, reabre de forma automática el modal de perfil previo.</t>
  </si>
  <si>
    <t>Éxito de Contraseña - Pantalla emergente SweetAlert2 con idénticos parámetros temporales y estéticos que el guardado de datos de perfil.</t>
  </si>
  <si>
    <t>Error de Contraseña - Aviso SweetAlert2 de rechazo que redirige el flujo directamente de vuelta hacia el formulario de modificación de clave.</t>
  </si>
  <si>
    <r>
      <rPr>
        <b/>
        <sz val="11"/>
        <color theme="1"/>
        <rFont val="Aptos Narrow"/>
        <family val="2"/>
      </rPr>
      <t xml:space="preserve">(Seguridad y Sesión) </t>
    </r>
    <r>
      <rPr>
        <sz val="11"/>
        <color theme="1"/>
        <rFont val="Aptos Narrow"/>
        <family val="2"/>
      </rPr>
      <t>Limpieza de URL - Remoción programática mediante Javascript de tokens JWT visibles en la barra de direcciones del navegador tras el login.</t>
    </r>
  </si>
  <si>
    <t>Anti-Caché - Los llamados a recursos lógicos JS incluirán variables QueryString dinámicas (?v=&lt;?php echo time(); ?&gt;) para ignorar versiones viejas en disco.</t>
  </si>
  <si>
    <t>Bloqueo de Retorno - Uso de listeners 'pageshow' que detectan el botón "atrás" del explorador y fuerzan el redireccionamiento hacia el portal de login.</t>
  </si>
  <si>
    <t>Logout con Confirmación - Bloqueo de sesión mediante advertencia previa por modal antes de invalidar el JWT y borrar variables locales del equipo cliente.</t>
  </si>
  <si>
    <t>Spinner de Logout - Mientras el servidor procesa la desvinculación, se interpondrá una capa completa con un spinner circular animado.</t>
  </si>
  <si>
    <r>
      <rPr>
        <b/>
        <sz val="11"/>
        <color theme="1"/>
        <rFont val="Aptos Narrow"/>
        <family val="2"/>
      </rPr>
      <t xml:space="preserve">(Menú Móvil (Hamburguesa)) </t>
    </r>
    <r>
      <rPr>
        <sz val="11"/>
        <color theme="1"/>
        <rFont val="Aptos Narrow"/>
        <family val="2"/>
      </rPr>
      <t>Icono Hamburguesa - Tres franjas horizontales apiladas de 3px de grosor, 30px de ancho y bordes redondeados en las puntas.</t>
    </r>
  </si>
  <si>
    <t>Panel Lateral - Desplegable desde la derecha cubriendo hasta 300px máximos, fondo completamente blanco y sombra proyectada hacia la izquierda.</t>
  </si>
  <si>
    <t>Links Móviles - Listado de accesos con generoso padding de 15px por fila, esquinas redondeadas en bloques y separación de 15px respecto a sus iconos.</t>
  </si>
  <si>
    <t>Cerrar Sesión Móvil - El enlace de finalización de sesión se pintará en un tono distintivo rojo coral (#ff4757) para alertar su acción.</t>
  </si>
  <si>
    <r>
      <rPr>
        <b/>
        <sz val="11"/>
        <color theme="1"/>
        <rFont val="Aptos Narrow"/>
        <family val="2"/>
      </rPr>
      <t xml:space="preserve">(Nuevos Badges) </t>
    </r>
    <r>
      <rPr>
        <sz val="11"/>
        <color theme="1"/>
        <rFont val="Aptos Narrow"/>
        <family val="2"/>
      </rPr>
      <t>Criterio de Nuevo - El sistema comprobará si la fecha actual menos la fecha de inserción (fec_insert) es menor o igual a un margen estricto de 14 días.</t>
    </r>
  </si>
  <si>
    <t>Posición Badge - Se ubica absolutamente mediante coordenadas top: 15px y right: 15px sobre la cabecera del elemento.</t>
  </si>
  <si>
    <t>Fondo Badge - Degradado lineal con ángulo estándar de 135deg mezclando verde esmeralda institucional (#087d4e) con cian brillante (#00d2ff).</t>
  </si>
  <si>
    <t>Texto Badge - Cadena literal "Nuevo" antecedida por el icono gráfico fa-certificate, todo en color blanco mate.</t>
  </si>
  <si>
    <t>Forma Badge - Recortado en elipses o cápsulas simétricas mediante border-radius de 15px.</t>
  </si>
  <si>
    <t>Persistencia - La propiedad lógica es dinámica: transcurridas las 2 semanas reglamentarias el backend omitirá el envío del atributo al front.</t>
  </si>
  <si>
    <r>
      <t xml:space="preserve">(Tarjetas de Producto) </t>
    </r>
    <r>
      <rPr>
        <sz val="11"/>
        <color theme="1"/>
        <rFont val="Aptos Narrow"/>
        <family val="2"/>
      </rPr>
      <t>Grid Productos - Formación en columnas automáticas con un suelo mínimo de anchura de 250px por tarjeta.</t>
    </r>
  </si>
  <si>
    <t>Fondo Tarjeta - Bloques blancos de puntas curvas (15px) que arrojan sombras envolventes de intensidad media.</t>
  </si>
  <si>
    <t>Hover Tarjeta - Elevación vertical de 10px y cambio del color del borde a un verde institucional muy marcado (#087d4e).</t>
  </si>
  <si>
    <t>Área de Imagen - Espacio estricto de 200px de altura vertical donde la imagen se encajará sin deformarse (object-fit: cover).</t>
  </si>
  <si>
    <t>Placeholder sin Imagen - Sustitución por arte vectorial grisáceo e iniciales flotantes en casos donde la BD carezca de imágenes.</t>
  </si>
  <si>
    <t>Título Producto - Encabezado centrado con tipografía bold de 16px coloreada en gris oscuro (#333).</t>
  </si>
  <si>
    <t>Descripción - Párrafo informativo secundario de 14px en gris opaco (#666).</t>
  </si>
  <si>
    <t>Clic en Tarjeta - Micro-interacción simulando pulsación física mediante compresión elástica (scale(0.95)) de 150 milisegundos.</t>
  </si>
  <si>
    <r>
      <rPr>
        <b/>
        <sz val="11"/>
        <color theme="1"/>
        <rFont val="Aptos Narrow"/>
        <family val="2"/>
      </rPr>
      <t xml:space="preserve">(Badge "Nuevo") </t>
    </r>
    <r>
      <rPr>
        <sz val="11"/>
        <color theme="1"/>
        <rFont val="Aptos Narrow"/>
        <family val="2"/>
      </rPr>
      <t>Criterio de Nuevo - Validación temporal estricta de 14 días corridos desde el momento exacto de la inserción inicial.</t>
    </r>
  </si>
  <si>
    <t>Posición Badge - Localización fija mediante CSS absoluto posicionada a top: 10px y right: 10px.</t>
  </si>
  <si>
    <t>Fondo Badge - Combinación por gradiente en degradé de verde esmeralda y cian moderno.</t>
  </si>
  <si>
    <t>Texto Badge - Visualización literal "✦ Nuevo" en fuente blanca brillante de alto contraste.</t>
  </si>
  <si>
    <t>Forma Badge - Recorte ovalado/capsular de 12px de radio.</t>
  </si>
  <si>
    <t>Sombra Badge - Resplandor verde exterior proyectado mediante rgba(8,125,78,0.4).</t>
  </si>
  <si>
    <r>
      <rPr>
        <b/>
        <sz val="11"/>
        <color theme="1"/>
        <rFont val="Aptos Narrow"/>
        <family val="2"/>
      </rPr>
      <t xml:space="preserve">(Sección Bienvenida) </t>
    </r>
    <r>
      <rPr>
        <sz val="11"/>
        <color theme="1"/>
        <rFont val="Aptos Narrow"/>
        <family val="2"/>
      </rPr>
      <t>Contenedor - Marquesina de bienvenida acolchada con 40px de padding y elevaciones sombreadas.</t>
    </r>
  </si>
  <si>
    <t>Título - Encabezado jerárquico principal de 2.5em bañado en la tonalidad corporativa azul.</t>
  </si>
  <si>
    <t>Descripción - Texto explicativo gris de tamaño extendido (1.2em) para lecturas descansadas.</t>
  </si>
  <si>
    <t>Animación AOS - Efecto de barrido ascendente (fade-up) que se gatilla tras avanzar 1000ms en el scroll del usuario.</t>
  </si>
  <si>
    <r>
      <rPr>
        <b/>
        <sz val="11"/>
        <color theme="1"/>
        <rFont val="Aptos Narrow"/>
        <family val="2"/>
      </rPr>
      <t xml:space="preserve">(Tarjetas Informativas de Especialidades) </t>
    </r>
    <r>
      <rPr>
        <sz val="11"/>
        <color theme="1"/>
        <rFont val="Aptos Narrow"/>
        <family val="2"/>
      </rPr>
      <t>Grid Informativo - Estructuración paralela basada en funciones auto-fit y separaciones físicas generosas.</t>
    </r>
  </si>
  <si>
    <t>Fondo Card - Soporte blanco de 30px de separación interna para la lectura holgada de información.</t>
  </si>
  <si>
    <t>Hover Card - Desplazamiento sutil hacia el eje superior de 5px.</t>
  </si>
  <si>
    <t>Título Card - Resaltado cromático verde institucional (#087d4e) escalado a dimensiones de 1.5em.</t>
  </si>
  <si>
    <t>Animación AOS - Temporizadores escalonados de aparición para crear la ilusión de cascada fluida.</t>
  </si>
  <si>
    <r>
      <rPr>
        <b/>
        <sz val="11"/>
        <color theme="1"/>
        <rFont val="Aptos Narrow"/>
        <family val="2"/>
      </rPr>
      <t xml:space="preserve">(Carrusel "Productos Más Vendidos") </t>
    </r>
    <r>
      <rPr>
        <sz val="11"/>
        <color theme="1"/>
        <rFont val="Aptos Narrow"/>
        <family val="2"/>
      </rPr>
      <t>Contenedor Carrusel - Base tintada en grises claros degradados con remates curvos extremos de 40px.</t>
    </r>
  </si>
  <si>
    <t>Título Sección - Letras gigantescas de 2.5rem en peso bold 700.</t>
  </si>
  <si>
    <t>Subtítulo - Apoyo visual en color neutro (#666) y holguras espaciadas a 50px.</t>
  </si>
  <si>
    <t>Animación AOS - Zoom suave expansivo de 1000 milisegundos de duración inicial.</t>
  </si>
  <si>
    <t>Slides - Tarjetas internas blancas de diseño premium y esquinas de 20px.</t>
  </si>
  <si>
    <t>Hover Slide - Activación de animaciones lúdicas de bamboleo y aterrizaje (jumpAndLandCarousel).</t>
  </si>
  <si>
    <t>Imagen Slide - Reducción en miniatura a 150px con aumentos dinámicos en hover (scale(1.1)).</t>
  </si>
  <si>
    <t>Título Slide - Dimensionamiento prudente a 1.15rem con cortes automáticos tras la segunda línea de texto.</t>
  </si>
  <si>
    <t>Precio Slide - Identificativo de costo final renderizado en verde esmeralda (#087d4e).</t>
  </si>
  <si>
    <t>Autoplay - Avance autónomo cíclico seteado a intervalos fijos de 2.5 segundos.</t>
  </si>
  <si>
    <t>Breakpoints - Redimensionamiento inteligente adaptando la cantidad de slides mostrados simultáneamente según la pantalla.</t>
  </si>
  <si>
    <t>Paginación - Puntos de control interactivos que escalan un 30% adicional cuando se encuentran activos.</t>
  </si>
  <si>
    <t>Spinner de Carga - Animación de espera circular e infinita previa a la comunicación con la API.</t>
  </si>
  <si>
    <t>REQUERIMIENTOS FUNCIONALES DE LA PÁGINA DE REGISTRO</t>
  </si>
  <si>
    <t>REQUERIMIENTOS NO FUNCIONALES DE LA PÁGINA DE REGISTRO</t>
  </si>
  <si>
    <t>El sistema debe impedir la modificación de materias primas inactivas.</t>
  </si>
  <si>
    <r>
      <rPr>
        <b/>
        <sz val="11"/>
        <color theme="1"/>
        <rFont val="Aptos Narrow"/>
        <family val="2"/>
      </rPr>
      <t>(Footer)</t>
    </r>
    <r>
      <rPr>
        <sz val="11"/>
        <color theme="1"/>
        <rFont val="Aptos Narrow"/>
        <family val="2"/>
      </rPr>
      <t xml:space="preserve"> Aparición - Control mediante IntersectionObserver para activar visibilidad solo tras ser alcanzado físicamente.</t>
    </r>
  </si>
  <si>
    <t>Fondo Footer - Pintado en gris pálido neutro (#f0f0f0).</t>
  </si>
  <si>
    <t>Logo Footer - Insignia gemela blanca posicionada en el pie de página con sombras de 8px de radio.</t>
  </si>
  <si>
    <t>Redes Sociales - Sección identificativa escrita completamente en formato de caja alta (mayúsculas).</t>
  </si>
  <si>
    <t>Icono WhatsApp - Color oficial de la marca de mensajería (#25D366).</t>
  </si>
  <si>
    <t>Icono Instagram - Gradiente multi-cromático nativo de la red social.</t>
  </si>
  <si>
    <t>Icono Facebook - Fondo azul cobalto estándar (#1877F2).</t>
  </si>
  <si>
    <t>Hover Redes - Agrandamiento escalado al 1.1 al posicionarse sobre los vínculos.</t>
  </si>
  <si>
    <t>Contacto - Listados ordenados decorados con iconografía vectorial representativa.</t>
  </si>
  <si>
    <t>Email - Vínculo electrónico resaltado con subrayados verdes interactivos.</t>
  </si>
  <si>
    <t>Logo INVIMA - Arte digital de cumplimiento legal fijado a 60px.</t>
  </si>
  <si>
    <t>Línea Copyright - Barra de separación de 3px pintada en el color verde esmeralda primario.</t>
  </si>
  <si>
    <t>Lema Copyright - Tipografía comprimida a 11px con transparencias controladas del 70%.</t>
  </si>
  <si>
    <t>revisar de aquí pa abajo si son los mismos o si quitarlos</t>
  </si>
  <si>
    <r>
      <rPr>
        <b/>
        <sz val="11"/>
        <color theme="1"/>
        <rFont val="Aptos Narrow"/>
        <family val="2"/>
      </rPr>
      <t>(Contenedor Principal y Layout)</t>
    </r>
    <r>
      <rPr>
        <sz val="11"/>
        <color theme="1"/>
        <rFont val="Aptos Narrow"/>
      </rPr>
      <t xml:space="preserve"> Contenedor Root - El contenedor "materia-prima-root" debe tener un padding de 20px, min-height de calc(100vh - 70px), fondo con variable CSS var(--bg-primary) y clase de animación "mat-prim-slide-up".</t>
    </r>
  </si>
  <si>
    <t>Encabezado de Sección - El encabezado debe usar display flex con justify-content space-between, align-items center, un borde inferior de 2px solid #087d4e, padding-bottom de 10px y margin-bottom de 20px.</t>
  </si>
  <si>
    <t>Título de Sección - El título h2 debe usar color var(--welcome-blue), margen 0 y un ícono FontAwesome (fa-boxes-stacked) previo al texto "Materia Prima".</t>
  </si>
  <si>
    <t>Animación SlideInUp - La animación "matPrimSlideInUp" debe desplazar el contenido de translateY(30px) a translateY(0) con opacidad de 0 a 1, duración de 0.4s y curva ease-out con fill-mode backwards.</t>
  </si>
  <si>
    <t>Animación FadeIn - La animación "matPrimFadeIn" debe transicionar la opacidad de 0 a 1 con una duración de 0.3s y curva ease-out.</t>
  </si>
  <si>
    <t>Inyección Dinámica de Estilos - Las animaciones CSS deben inyectarse dinámicamente mediante JavaScript (createElement style) con id "matprim-styles-atomic", verificando existencia previa para evitar duplicados.</t>
  </si>
  <si>
    <t>Tarjeta de Categoría - Cada tarjeta debe tener background var(--bg-secondary), border-radius de 15px, sombra de 0 10px 30px var(--card-shadow), padding de 20px, text-align center, cursor pointer, borde de 1px solid var(--border-color) y transición de all 0.3s.</t>
  </si>
  <si>
    <t>Hover de Tarjeta - Al pasar el cursor sobre una tarjeta, esta debe elevarse 5px (translateY(-5px)) y aumentar su sombra a 0 10px 25px rgba(0,0,0,0.15).</t>
  </si>
  <si>
    <t>Ícono de Categoría - El ícono de cada categoría (fa-boxes-stacked) debe tener font-size de 3rem, color verde esmeralda (#087d4e) y margin-bottom de 15px.</t>
  </si>
  <si>
    <r>
      <rPr>
        <b/>
        <sz val="11"/>
        <color theme="1"/>
        <rFont val="Aptos Narrow"/>
        <family val="2"/>
      </rPr>
      <t>(Grid de Categorías)</t>
    </r>
    <r>
      <rPr>
        <sz val="11"/>
        <color theme="1"/>
        <rFont val="Aptos Narrow"/>
        <family val="2"/>
      </rPr>
      <t xml:space="preserve"> Grid Adaptativo Categorías - El contenedor de categorías debe usar CSS Grid con repeat(auto-fill, minmax(280px, 1fr)) y un gap de exactamente 25px, con padding de 10px.</t>
    </r>
  </si>
  <si>
    <t>Badge Inactivo Categoría - Las categorías inactivas deben mostrar un badge en position absolute (top:10px, right:10px) con background #dc3545, color blanco, padding 2px 8px, border-radius 10px y font-size 0.7rem; la tarjeta debe reducir su opacidad a 0.7.</t>
  </si>
  <si>
    <r>
      <rPr>
        <b/>
        <sz val="11"/>
        <color theme="1"/>
        <rFont val="Aptos Narrow"/>
        <family val="2"/>
      </rPr>
      <t xml:space="preserve">(Filtros de Estado (Toggle Buttons)) </t>
    </r>
    <r>
      <rPr>
        <sz val="11"/>
        <color theme="1"/>
        <rFont val="Aptos Narrow"/>
        <family val="2"/>
      </rPr>
      <t>Contenedor Filtros - Los botones de filtro deben estar dentro de un contenedor con display flex, background var(--bg-secondary), padding 4px, border-radius 20px, gap 4px y borde de 1px solid var(--border-color).</t>
    </r>
  </si>
  <si>
    <t>Botón Filtro - Cada botón de filtro debe tener padding 6px 15px, border none, border-radius 15px, cursor pointer, font-size 0.85rem, font-weight 600 y transición de all 0.3s.</t>
  </si>
  <si>
    <t>Filtro Activo Habilitadas - El botón "Habilitadas" activo debe tener background #36498f y color white.</t>
  </si>
  <si>
    <t>Filtro Activo Inhabilitadas - El botón "Inhabilitadas" activo debe tener background #dc3545 y color white.</t>
  </si>
  <si>
    <t>Filtro Inactivo - Los botones de filtro inactivos deben tener background transparent y color #666.</t>
  </si>
  <si>
    <r>
      <rPr>
        <b/>
        <sz val="11"/>
        <color theme="1"/>
        <rFont val="Aptos Narrow"/>
        <family val="2"/>
      </rPr>
      <t xml:space="preserve">(Botones de Acción Principal) </t>
    </r>
    <r>
      <rPr>
        <sz val="11"/>
        <color theme="1"/>
        <rFont val="Aptos Narrow"/>
        <family val="2"/>
      </rPr>
      <t>Botón Administrar Categorías - El botón debe tener background var(--header-blue), color blanco, border none, padding 10px 20px, border-radius 5px, cursor pointer, font-weight bold y sombra de 0 4px 10px rgba(0,0,0,0.2).</t>
    </r>
  </si>
  <si>
    <t>Botón Registrar Movimiento - El botón debe tener background #087d4e (verde esmeralda), color blanco, border none, padding 10px 20px, border-radius 5px, cursor pointer, font-weight bold y sombra de 0 4px 10px rgba(8,125,78,0.2).</t>
  </si>
  <si>
    <t>Botón Nueva Materia - El botón "+ Nueva Materia" debe tener background #087d4e, color blanco, border none, padding 10px 20px, border-radius 20px (cápsula), cursor pointer, font-weight bold y sombra de 0 4px 10px rgba(8,125,78,0.2).</t>
  </si>
  <si>
    <r>
      <rPr>
        <b/>
        <sz val="11"/>
        <color theme="1"/>
        <rFont val="Aptos Narrow"/>
        <family val="2"/>
      </rPr>
      <t xml:space="preserve">(Grid de Materias Primas (Tarjetas)) </t>
    </r>
    <r>
      <rPr>
        <sz val="11"/>
        <color theme="1"/>
        <rFont val="Aptos Narrow"/>
        <family val="2"/>
      </rPr>
      <t>Grid Adaptativo Materias - El grid de materias debe usar CSS Grid con repeat(auto-fill, minmax(300px, 1fr)) y gap de 25px.</t>
    </r>
  </si>
  <si>
    <t>Tarjeta de Materia - Cada tarjeta debe tener background var(--bg-secondary), border-radius 12px, sombra de 0 10px 25px var(--card-shadow), overflow hidden, borde de 1px solid var(--border-color), display flex con flex-direction column y transición de all 0.2s.</t>
  </si>
  <si>
    <t>Área de Imagen - El contenedor de imagen debe tener height 150px, background var(--bg-primary), position relative, overflow hidden; la imagen debe tener width y height 100%, object-fit contain y padding 10px.</t>
  </si>
  <si>
    <t>El badge "BAJO STOCK" debe estar posicionado absolutamente (top:10px, right:10px) con background #dc3545, color blanco, padding 4px 10px, border-radius 12px, font-size 0.75rem, font-weight bold y sombra de 0 2px 5px rgba(0,0,0,0.2).</t>
  </si>
  <si>
    <t>Borde de Alerta - Las tarjetas con stock bajo deben mostrar un borde de 1px solid #dc3545 en lugar del borde estándar var(--border-color).</t>
  </si>
  <si>
    <t>Nombre de Materia - El título h4 debe tener margen 0, color var(--welcome-blue) o #dc3545 si está bajo stock, y font-size de 1.1rem.</t>
  </si>
  <si>
    <t>Info de Stock - La información de stock debe mostrarse en display flex con justify-content space-between, font-size 0.9rem para disponibles y 0.8rem para stock mínimo, con margin-top 8px.</t>
  </si>
  <si>
    <t>Tarjeta Inactiva - Las materias inactivas deben mostrarse con opacity 0.75 y filter grayscale(0.5), con un badge "INACTIVO" en position absolute (top:10px, left:10px), background #666, color blanco, padding 2px 10px, border-radius 10px y font-size 0.7rem.</t>
  </si>
  <si>
    <t>Barra de Acciones - La barra inferior de acciones debe tener margin-top 15px, display flex, gap 10px, justify-content flex-end, border-top 1px solid var(--border-color) y padding-top 10px.</t>
  </si>
  <si>
    <t>Botones de Acción en Tarjeta - Los botones "Editar" y "Detalle" deben ser iconos sin fondo (border none, background none) con font-size 1.1rem, padding 5px y cursor pointer; Editar en color var(--welcome-blue) y Detalle en #087d4e.</t>
  </si>
  <si>
    <t>Botón Eliminar en Tarjeta - El botón "Eliminar" debe tener background #dc3545, borde 1px solid #000, color blanco, dimensiones de 30x30px, border-radius 6px, display flex centrado y sombra de 0 2px 5px rgba(0,0,0,0.2) con transición de 0.2s.</t>
  </si>
  <si>
    <r>
      <rPr>
        <b/>
        <sz val="11"/>
        <color theme="1"/>
        <rFont val="Aptos Narrow"/>
        <family val="2"/>
      </rPr>
      <t xml:space="preserve">(Modales) </t>
    </r>
    <r>
      <rPr>
        <sz val="11"/>
        <color theme="1"/>
        <rFont val="Aptos Narrow"/>
        <family val="2"/>
      </rPr>
      <t>Overlay Modal Movimiento - El modal de movimiento debe usar position fixed, z-index de nivel modal del sistema, fondo rgba(0,0,0,0.7), display flex centrado; los campos del formulario deben tener padding 12px, border-radius 8px, borde 1px solid var(--border-color) y background var(--bg-primary).</t>
    </r>
  </si>
  <si>
    <t>Labels del Formulario - Todas las etiquetas (label) de los formularios deben usar font-weight 600 y color var(--text-main).</t>
  </si>
  <si>
    <t>Gap entre Campos - Los campos del formulario de movimiento deben estar distribuidos con flex-direction column y gap de 15px.</t>
  </si>
  <si>
    <t>Botón Cancelar Modal - El botón "Cancelar" debe tener padding 10px 25px, borde 1px solid var(--border-color), background #6c757d, color blanco, border-radius 8px, cursor pointer y font-weight bold.</t>
  </si>
  <si>
    <t>Botón Registrar Modal - El botón "Registrar Movimiento" debe tener padding 10px 25px, background #087d4e, color blanco, border none, border-radius 8px, cursor pointer, font-weight bold y sombra de 0 4px 10px rgba(8,125,78,0.2).</t>
  </si>
  <si>
    <t>Modal Detalle - El modal de detalle debe usar position fixed, z-index 2100, fondo rgba(0,0,0,0.6), overflow-y auto, padding 20px y font-family 'Segoe UI', sans-serif; el contenedor interno debe tener margin 5% auto, width 95%, max-width 650px, border-radius 15px y sombra de 0 20px 60px rgba(0,0,0,0.5).</t>
  </si>
  <si>
    <t>Modal Historial Precios - El modal de historial debe usar z-index 2200 (superior al modal de detalle), fondo rgba(0,0,0,0.75); la tabla interna debe tener width 100%, border-collapse collapse, encabezados con borde inferior de 2px solid var(--welcome-blue) y max-height 80vh con overflow-y auto.</t>
  </si>
  <si>
    <t>Modal Categoría Local - El modal de crear/editar categoría debe usar z-index 3000 (superior a todos los demás), fondo rgba(0,0,0,0.7), contenedor interno con max-width 400px, border-radius 12px, padding 25px y sombra de 0 20px 50px rgba(0,0,0,0.5).</t>
  </si>
  <si>
    <r>
      <rPr>
        <b/>
        <sz val="11"/>
        <color theme="1"/>
        <rFont val="Aptos Narrow"/>
        <family val="2"/>
      </rPr>
      <t xml:space="preserve">(Formato de Datos y Persistencia) </t>
    </r>
    <r>
      <rPr>
        <sz val="11"/>
        <color theme="1"/>
        <rFont val="Aptos Narrow"/>
        <family val="2"/>
      </rPr>
      <t>Formato Moneda - Los precios de materia prima deben formatearse usando Intl.NumberFormat con locale 'es-CO', style 'currency', currency 'COP' y maximumFractionDigits 0.</t>
    </r>
  </si>
  <si>
    <t>Observaciones por Defecto - Los campos opcionales vacíos (observaciones, lote, tipo_mat_prima) deben normalizarse a 'N/A' antes de enviarse al servidor para mantener consistencia en la base de datos.</t>
  </si>
  <si>
    <t>Inmutabilidad de Registros - Los registros históricos del Kardex y del historial de precios deben ser de solo lectura una vez creados, sin opciones de edición o eliminación en la interfaz.</t>
  </si>
  <si>
    <t>Persistencia de Historial - El sistema debe conservar el historial de precios de materia prima por un periodo indefinido para análisis de costos, sin mecanismo de purga automática.</t>
  </si>
  <si>
    <r>
      <rPr>
        <b/>
        <sz val="11"/>
        <color theme="1"/>
        <rFont val="Aptos Narrow"/>
        <family val="2"/>
      </rPr>
      <t xml:space="preserve">(Filtros de Estado) </t>
    </r>
    <r>
      <rPr>
        <sz val="11"/>
        <color theme="1"/>
        <rFont val="Aptos Narrow"/>
        <family val="2"/>
      </rPr>
      <t>Filtro Habilitadas/Inhabilitadas Categorías - El sistema debe permitir alternar entre categorías habilitadas e inhabilitadas mediante botones de filtro.</t>
    </r>
  </si>
  <si>
    <t>Filtro Habilitadas/Inhabilitadas Materias - El sistema debe permitir alternar entre materias primas habilitadas e inhabilitadas dentro de una categoría.</t>
  </si>
  <si>
    <t>Restaurar Registros - El sistema debe permitir restaurar categorías y materias primas inhabilitadas mediante un botón "Restaurar".</t>
  </si>
  <si>
    <t>Badge Bajo Stock - El sistema debe mostrar un indicador visual "BAJO STOCK" en rojo sobre las tarjetas cuya cantidad disponible sea igual o menor al stock mínimo.</t>
  </si>
  <si>
    <t>Badge Inactivo - El sistema debe mostrar un indicador visual "INACTIVO" sobre las tarjetas de materias primas inhabilitadas, con opacidad reducida y escala de grises.</t>
  </si>
  <si>
    <t>El formulario de Empleados debe incluir los campos: Tipo Documento, Número Documento, Primer Nombre, Segundo Nombre, Primer Apellido, Segundo Apellido, Fecha Contratación, Tipo Sangre, Teléfono, Email, Ciudad, Dirección, Género, Cargo, Banco, No. Cuenta, Peso (Kg), Altura (m), Último Examen y Observaciones.</t>
  </si>
  <si>
    <t>El formulario de Clientes debe incluir los campos: Tipo Documento, Número Documento, Primer Nombre, Segundo Nombre, Primer Apellido, Segundo Apellido, Teléfono, Género, Ciudad, Dirección y Profesión.</t>
  </si>
  <si>
    <t>El sistema debe permitir gestionar proveedores desde la tarjeta correspondiente del dashboard, mostrando un listado con ID, Nombre, Contacto y Acciones.</t>
  </si>
  <si>
    <t>El formulario de Proveedores debe incluir los campos: Tipo Documento, NIT/Documento, Razón Social/Nombre, Teléfono, Email, Ciudad, Calidad y Dirección.</t>
  </si>
  <si>
    <r>
      <rPr>
        <b/>
        <sz val="11"/>
        <color theme="1"/>
        <rFont val="Aptos Narrow"/>
        <family val="2"/>
      </rPr>
      <t xml:space="preserve">(Layout General y Grid del Sistema) </t>
    </r>
    <r>
      <rPr>
        <sz val="11"/>
        <color theme="1"/>
        <rFont val="Aptos Narrow"/>
        <family val="2"/>
      </rPr>
      <t>Grid Principal - El body debe usar display grid con grid-template-columns de 350px 1fr 300px, height 100vh, font-family 'Segoe UI' (Tahoma, Geneva, Verdana, sans-serif), fondo var(--bg-primary) y transición de background y color de 0.3s ease.</t>
    </r>
  </si>
  <si>
    <t>Expansión de Contenido - Al activarse la clase "expand-content" en el body, la tercera columna debe colapsar a 0px (grid-template-columns: 350px 1fr 0px) y el panel derecho (.a3) debe ocultarse con display none.</t>
  </si>
  <si>
    <r>
      <rPr>
        <b/>
        <sz val="11"/>
        <color theme="1"/>
        <rFont val="Aptos Narrow"/>
        <family val="2"/>
      </rPr>
      <t xml:space="preserve">(Variables CSS y Modo Oscuro) </t>
    </r>
    <r>
      <rPr>
        <sz val="11"/>
        <color theme="1"/>
        <rFont val="Aptos Narrow"/>
        <family val="2"/>
      </rPr>
      <t>Variables de Tema Claro - El :root debe definir: --bg-primary: #f5f7fa, --bg-secondary: #ffffff, --text-main: #1f2937, --text-muted: #6b7280, --header-blue: #36498f, --welcome-blue: #36498f, --card-shadow: rgba(0,0,0,0.06), --border-color: transparent, --sidebar-left-grad y --modal-header-grad como linear-gradient(135deg, #36498f 0%, #087d4e 100%), --btn-primary-bg como linear-gradient(135deg, #36498f 0%, #087d4e 100%).</t>
    </r>
  </si>
  <si>
    <t>Variables de Tema Oscuro - La clase body.dark-mode debe redefinir: --bg-primary: #121212, --bg-secondary: #1e1e1e, --text-main: #f3f4f6, --text-muted: rgba(255,255,255,0.7), --sidebar-left-grad como linear-gradient(135deg, #000000 a #4a4a4a), --sidebar-right-grad: #000000, --header-blue: #333333, --welcome-blue: #ffffff, --card-shadow: rgba(0,0,0,0.4), --border-color: rgba(255,255,255,0.1), --btn-primary-bg como linear-gradient(135deg, #059669 a #10b981).</t>
  </si>
  <si>
    <r>
      <rPr>
        <b/>
        <sz val="11"/>
        <color theme="1"/>
        <rFont val="Aptos Narrow"/>
        <family val="2"/>
      </rPr>
      <t xml:space="preserve">(Sidebar Izquierdo (Menú de Navegación)) </t>
    </r>
    <r>
      <rPr>
        <sz val="11"/>
        <color theme="1"/>
        <rFont val="Aptos Narrow"/>
        <family val="2"/>
      </rPr>
      <t>Fondo del Sidebar - El sidebar izquierdo (.a1) debe usar background var(--sidebar-left-grad), display flex con justify-content center, sombra de 2px 0 20px rgba(0,0,0,0.3) y overflow hidden.</t>
    </r>
  </si>
  <si>
    <t>Botones de Menú - Cada botón (.menu) debe tener height 75px, width 200px, background rgba(255,255,255,0.1), border-radius 15px, margin-bottom 15px, display flex column centrado, transición de all 0.4s, sombra de 0 5px 15px rgba(0,0,0,0.1) y borde de 2px solid transparent.</t>
  </si>
  <si>
    <t>Hover de Menú - Al hacer hover sobre un botón de menú, el fondo debe cambiar a rgba(255,255,255,0.2), escalarse a 1.05 (transform: scale(1.05)) y el borde debe cambiar a blanco; el texto e íconos deben mantener color blanco con !important.</t>
  </si>
  <si>
    <t>Logo del Sistema - El logo debe tener fondo rgba(255,255,255,0.1), height 120px, width 200px, border-radius 20px, sombra de 0 10px 30px rgba(0,0,0,0.2) y transición de all 0.3s.</t>
  </si>
  <si>
    <r>
      <t>(Sección Central (Dashboard))</t>
    </r>
    <r>
      <rPr>
        <sz val="11"/>
        <color theme="1"/>
        <rFont val="Aptos Narrow"/>
        <family val="2"/>
      </rPr>
      <t xml:space="preserve"> Contenedor Central - La sección central (.a2) debe tener background-color var(--bg-secondary), margen de 20px, border-radius 20px, sombra de 0 10px 30px var(--card-shadow), display flex column, overflow hidden y color var(--text-main).</t>
    </r>
  </si>
  <si>
    <t>Header del Dashboard - El header (.header-inventario) debe tener background-color var(--header-blue), padding 30px, text-align center y color blanco.</t>
  </si>
  <si>
    <t>Introducción del Dashboard - La sección .dashboard-intro debe tener padding 25px 30px, background var(--bg-primary), borde inferior de 1px solid rgba(0,0,0,0.05) y opacity 0.9; el título h2 debe ser 1.5rem en color var(--welcome-blue).</t>
  </si>
  <si>
    <r>
      <rPr>
        <b/>
        <sz val="11"/>
        <color theme="1"/>
        <rFont val="Aptos Narrow"/>
        <family val="2"/>
      </rPr>
      <t xml:space="preserve">(Tarjetas de Métricas (Stat Cards)) </t>
    </r>
    <r>
      <rPr>
        <sz val="11"/>
        <color theme="1"/>
        <rFont val="Aptos Narrow"/>
        <family val="2"/>
      </rPr>
      <t>Tarjeta Base - Cada stat-card debe tener background var(--bg-secondary), border-radius 16px, padding 24px, display flex con gap 20px, sombra de 0 4px 12px var(--card-shadow), borde de 1px solid var(--border-color), transición de all 0.3s, cursor pointer !important, z-index 10 y user-select none.</t>
    </r>
  </si>
  <si>
    <t>Hover de Tarjeta - Al hacer hover, la tarjeta debe elevarse 4px (translateY(-4px)), la sombra debe aumentar a 0 8px 25px rgba(0,0,0,0.12) y el z-index a 100.</t>
  </si>
  <si>
    <t>Borde Lateral por Tipo - Cada variante de tarjeta debe tener un border-left de 4px con el color correspondiente: primary=#36498f, success=#087d4e, warning=#f59e0b, info=#0ea5e9, secondary=#8b5cf6.</t>
  </si>
  <si>
    <t>Ícono de Tarjeta - El contenedor del ícono (.stat-icon) debe tener 56x56px, border-radius 14px, display flex centrado y font-size 24px; el fondo debe ser una versión al 15% de opacidad del color del borde correspondiente.</t>
  </si>
  <si>
    <t>Grid de Tarjetas - El grid de analíticas (.analytics-grid) debe usar CSS Grid con repeat(auto-fit, minmax(200px, 1fr)), gap de 20px y margin-bottom 25px.</t>
  </si>
  <si>
    <t>Valor de Tarjeta - El valor numérico (.stat-value) debe tener font-size 1.75rem, font-weight 700 y color var(--text-main); la etiqueta (.stat-label) debe tener font-size 0.85rem, font-weight 500 y color var(--text-muted).</t>
  </si>
  <si>
    <r>
      <rPr>
        <b/>
        <sz val="11"/>
        <color theme="1"/>
        <rFont val="Aptos Narrow"/>
        <family val="2"/>
      </rPr>
      <t xml:space="preserve">(Sidebar Derecho (Panel de Configuración)) </t>
    </r>
    <r>
      <rPr>
        <sz val="11"/>
        <color theme="1"/>
        <rFont val="Aptos Narrow"/>
        <family val="2"/>
      </rPr>
      <t>Contenedor Perfil - El panel derecho (.a3) debe tener margen 20px 20px 20px 0, border-radius 20px, sombra de 0 10px 30px rgba(0,0,0,0.3), display flex column, overflow auto, background var(--sidebar-right-grad) y color blanco.</t>
    </r>
  </si>
  <si>
    <t>Avatar de Perfil - La imagen de perfil (.imagenPerfil) debe tener 80x80px, border-radius 50%, background rgba(255,255,255,0.2), borde de 3px solid blanco, font-size 32px, color blanco y sombra de 0 5px 15px rgba(0,0,0,0.2).</t>
  </si>
  <si>
    <t>Opción de Menú Perfil - Cada opción (.opcion-perfil) debe tener display flex, padding 15px, background rgba(255,255,255,0.1), border-radius 12px, cursor pointer, transición de all 0.3s, borde de 2px solid transparent y gap 20px; al hacer hover el fondo debe cambiar a blanco y el texto a #36498f.</t>
  </si>
  <si>
    <r>
      <rPr>
        <b/>
        <sz val="11"/>
        <color theme="1"/>
        <rFont val="Aptos Narrow"/>
        <family val="2"/>
      </rPr>
      <t xml:space="preserve">(Modales del Dashboard) </t>
    </r>
    <r>
      <rPr>
        <sz val="11"/>
        <color theme="1"/>
        <rFont val="Aptos Narrow"/>
        <family val="2"/>
      </rPr>
      <t>Overlay del Modal - Los modales (.modal) deben usar position fixed, z-index 1000, cubriendo toda la pantalla con background-color rgba(0,0,0,0.6) y backdrop-filter blur(5px).</t>
    </r>
  </si>
  <si>
    <t>Contenedor del Modal - El .modal-content debe tener background var(--bg-secondary), margin 2% auto, border-radius 20px, width 90%, max-width 500px, sombra de 0 20px 50px var(--card-shadow), display flex column, max-height 95vh y animación modalSlideIn de 0.3s ease (translateY de -50px a 0 con opacidad).</t>
  </si>
  <si>
    <t>Modal Grande - La clase .modal-large debe aplicar max-width 95% y width 95% para tablas de gestión.</t>
  </si>
  <si>
    <t>Header del Modal - El header (.modal-header) debe usar background var(--modal-header-grad), color blanco, padding 25px, text-align center, borde inferior de 1px solid var(--border-color), sombra de 0 5px 15px rgba(0,0,0,0.1) y z-index 10.</t>
  </si>
  <si>
    <t>Body del Modal - El .modal-body debe tener padding 20px, overflow-y auto y flex 1 para ocupar el espacio restante.</t>
  </si>
  <si>
    <r>
      <rPr>
        <b/>
        <sz val="11"/>
        <color theme="1"/>
        <rFont val="Aptos Narrow"/>
        <family val="2"/>
      </rPr>
      <t xml:space="preserve">(Formularios de Gestión) </t>
    </r>
    <r>
      <rPr>
        <sz val="11"/>
        <color theme="1"/>
        <rFont val="Aptos Narrow"/>
        <family val="2"/>
      </rPr>
      <t>Campo de Formulario - Los inputs y selects dentro de .form-group deben tener width 100%, padding 12px 15px, background var(--bg-primary), color var(--text-main), borde de 2px solid var(--text-muted), border-radius 10px, font-size 16px y transición de all 0.3s.</t>
    </r>
  </si>
  <si>
    <t>Focus de Campo - Al hacer foco, el borde debe cambiar a #36498f con box-shadow de 0 0 0 3px rgba(54,73,143,0.1) y sin outline.</t>
  </si>
  <si>
    <t>Botón Principal - Los botones .btn-primary deben usar background var(--btn-primary-bg), color blanco; al hacer hover deben elevarse 2px y aplicar filter brightness(1.2).</t>
  </si>
  <si>
    <t>Botón Secundario - Los botones .btn-secondary deben tener background #6c757d y color blanco; al hacer hover el fondo cambia a #5a6268 y se elevan 2px.</t>
  </si>
  <si>
    <t>Botones de Modal - Los .btn-modal deben tener padding 12px 25px, border none, border-radius 10px, cursor pointer, font-size 16px, font-weight 600 y transición de all 0.3s.</t>
  </si>
  <si>
    <t>Layout de Formulario Usuarios - El formulario de usuarios debe usar layout de columna simple (flex-direction column, max-width 400px, margin 0 auto); los demás módulos deben usar grid de 2 columnas (grid-template-columns: 1fr 1fr, gap 25px).</t>
  </si>
  <si>
    <r>
      <rPr>
        <b/>
        <sz val="11"/>
        <color theme="1"/>
        <rFont val="Aptos Narrow"/>
        <family val="2"/>
      </rPr>
      <t xml:space="preserve">(Tablas de Gestión) </t>
    </r>
    <r>
      <rPr>
        <sz val="11"/>
        <color theme="1"/>
        <rFont val="Aptos Narrow"/>
        <family val="2"/>
      </rPr>
      <t>Tabla de Datos - Las tablas .gestion-table deben tener width 100%, border-collapse collapse, margin-top 15px; las celdas th y td deben tener borde de 1px solid var(--text-muted), padding 12px y text-align left (th centrado).</t>
    </r>
  </si>
  <si>
    <t>Filas Alternas - Las filas pares (tr:nth-child(even)) deben tener background-color var(--bg-primary) con opacity 0.8; al hacer hover, las filas deben aplicar filter brightness(1.1).</t>
  </si>
  <si>
    <t>Botones de Acción en Tabla - Los botones .btn-icon deben tener background none, border none, cursor pointer, font-size 1.2em, color var(--text-muted) y transición de color 0.2s; al hacer hover el color debe cambiar a #087d4e.</t>
  </si>
  <si>
    <r>
      <rPr>
        <b/>
        <sz val="11"/>
        <color theme="1"/>
        <rFont val="Aptos Narrow"/>
        <family val="2"/>
      </rPr>
      <t xml:space="preserve">(Validaciones de Formularios) </t>
    </r>
    <r>
      <rPr>
        <sz val="11"/>
        <color theme="1"/>
        <rFont val="Aptos Narrow"/>
        <family val="2"/>
      </rPr>
      <t>Validación de Usuarios - El esquema de usuarios debe validar: nom_user (3-30 caracteres), mail_user (email válido, máx 255), tel_user (7-10 dígitos numéricos), pass_user (mín 6 caracteres, 1 mayúscula, 1 número con pattern regex).</t>
    </r>
  </si>
  <si>
    <t>Validación de Empleados - El esquema de empleados debe validar: num_documento (5-20 alfanuméricos), prim_nom/prim_apell (solo letras, 3-30), tel_empleado (7-10 dígitos), mail_empleado (formato email), ind_peso (40-200 kg con separador coma), ind_altura (1.30-2.50 m con separador coma), ind_fecha_contratacion (mín año 2000, máx fecha actual GMT-5), ult_fec_exam (no futuro), num_cuenta (10-20 dígitos).</t>
  </si>
  <si>
    <t>Validación de Clientes - El esquema de clientes debe validar: num_documento (5-20 alfanuméricos), prim_nom/prim_apell (solo letras, máx 30), tel_cliente (7-10 dígitos), ciudad (existente en lista auxiliar), dirección y profesión obligatorios.</t>
  </si>
  <si>
    <t>Validación de Proveedores - El esquema de proveedores debe validar: num_documento (5-20 alfanuméricos), nom_prov (alfanumérico con tildes, máx 50), tel_prov (7-10 dígitos), mail_prov (formato email), ciudad (existente en lista auxiliar), dir_prov obligatoria.</t>
  </si>
  <si>
    <t>Zona Horaria - Las fechas máximas permitidas en los formularios (contratación, exámenes) deben calcularse usando Intl.DateTimeFormat con timeZone 'America/Bogota' para evitar manipulación por cambio de reloj local.</t>
  </si>
  <si>
    <r>
      <rPr>
        <b/>
        <sz val="11"/>
        <color theme="1"/>
        <rFont val="Aptos Narrow"/>
        <family val="2"/>
      </rPr>
      <t xml:space="preserve">(Seguridad y Rendimiento) </t>
    </r>
    <r>
      <rPr>
        <sz val="11"/>
        <color theme="1"/>
        <rFont val="Aptos Narrow"/>
        <family val="2"/>
      </rPr>
      <t>Carga Paralela - Al abrir un modal de gestión, el sistema debe ejecutar en paralelo (Promise.all) la carga de datos del módulo y la carga de datos auxiliares (cargaAuxiliares) para optimizar el tiempo de respuesta.</t>
    </r>
  </si>
  <si>
    <t>Anti-Caché - Las peticiones a api_gestion.php para datos auxiliares deben incluir un parámetro QueryString dinámico (_t=timestamp) para prevenir respuestas cacheadas.</t>
  </si>
  <si>
    <t>Normalización de Campos Opcionales - Los campos opcionales vacíos (observaciones, observ, motivo, ind_calidad, lote, tipo_mat_prima, reg_invima, segun_nom, segun_apell) deben normalizarse a 'N/A' antes del envío al servidor.</t>
  </si>
  <si>
    <t>Validación de Imagen - Los archivos de imagen deben validarse en el cliente: solo tipos MIME image/jpeg, image/png y image/jpg, con tamaño máximo de 5MB; de lo contrario debe mostrarse un modal de error sin enviar la petición.</t>
  </si>
  <si>
    <t>Desformateo Numérico - Los campos numéricos formateados con puntos de miles (data-is-number="true") deben limpiarse (eliminar puntos) antes del envío al servidor.</t>
  </si>
  <si>
    <r>
      <rPr>
        <b/>
        <sz val="11"/>
        <color theme="1"/>
        <rFont val="Aptos Narrow"/>
        <family val="2"/>
      </rPr>
      <t xml:space="preserve">(Tarjetas de Soporte y Ayuda) </t>
    </r>
    <r>
      <rPr>
        <sz val="11"/>
        <color theme="1"/>
        <rFont val="Aptos Narrow"/>
        <family val="2"/>
      </rPr>
      <t>Tarjeta de Desarrollador - Las tarjetas de soporte (.dev-card) deben tener background var(--bg-secondary), border-radius 15px, padding 20px, display flex con gap 20px, sombra de 0 5px 15px var(--card-shadow), borde de 1px solid var(--text-muted) y transición de transform y box-shadow de 0.3s; al hacer hover deben elevarse 5px, la sombra debe cambiar a 0 10px 25px rgba(54,73,143,0.15) y el borde a #36498f.</t>
    </r>
  </si>
  <si>
    <t>Avatar de Desarrollador - El avatar (.dev-avatar) debe tener 60x60px, background con degradado institucional (135deg, #36498f a #087d4e), border-radius 50%, display flex centrado, color blanco y font-size 24px.</t>
  </si>
  <si>
    <r>
      <rPr>
        <b/>
        <sz val="11"/>
        <color theme="1"/>
        <rFont val="Aptos Narrow"/>
        <family val="2"/>
      </rPr>
      <t xml:space="preserve">(Animaciones y Efectos) </t>
    </r>
    <r>
      <rPr>
        <sz val="11"/>
        <color theme="1"/>
        <rFont val="Aptos Narrow"/>
        <family val="2"/>
      </rPr>
      <t>Animación Shine - La animación @keyframes shine debe mover el pseudo-elemento de left: -100% a left: 100% para simular un efecto de brillo metálico.</t>
    </r>
  </si>
  <si>
    <t>Parallax del Header - El header de inventario debe aplicar un efecto parallax al hacer scroll mediante translateY(scrollOffset * 0.5) en el evento scroll del window.</t>
  </si>
  <si>
    <r>
      <t xml:space="preserve">(Contenedor Principal y Fondo) </t>
    </r>
    <r>
      <rPr>
        <sz val="11"/>
        <color theme="1"/>
        <rFont val="Aptos Narrow"/>
        <family val="2"/>
      </rPr>
      <t>Fondo de Página - El body debe usar un degradado lineal de 135deg entre azul institucional (#36498f) y verde esmeralda (#087d4e), centrado vertical y horizontalmente con display flex, ocupando 100vh de altura.</t>
    </r>
  </si>
  <si>
    <t>Contenedor Principal - El contenedor principal debe tener fondo blanco (#fff), border-radius de 10px, sombra doble de 0 14px 28px rgba(0,0,0,0.25) y 0 10px 10px rgba(0,0,0,0.22), ancho de 768px y altura mínima de 480px.</t>
  </si>
  <si>
    <t>Animación de Entrada - El contenedor debe animarse al cargar con un efecto fadeInUp de 0.8s (desplazamiento de 30px hacia arriba con incremento de opacidad de 0 a 1).</t>
  </si>
  <si>
    <r>
      <t xml:space="preserve">(Formulario de Inicio de Sesión - Presentación Visual) </t>
    </r>
    <r>
      <rPr>
        <sz val="11"/>
        <color theme="1"/>
        <rFont val="Aptos Narrow"/>
        <family val="2"/>
      </rPr>
      <t>Fondo del Formulario - Los formularios deben tener fondo blanco (#FFFFFF), display flex con dirección column, alineación centrada y padding horizontal de 50px.</t>
    </r>
  </si>
  <si>
    <t>Título h1 - Los títulos h1 deben usar font-weight bold con una transición de 0.3s en todas las propiedades, cambiando a color azul institucional (#36498f) con text-shadow de 2px 2px 10px rgba(54,73,143,0.2) al hacer hover.</t>
  </si>
  <si>
    <t>Campos de Entrada - Los inputs deben tener fondo gris claro (#eee), borde de 2px solid transparent, padding de 12px 15px, margen de 8px 0, ancho completo (100%) y transición de 0.3s en todas las propiedades.</t>
  </si>
  <si>
    <t>Focus de Campos - Al hacer foco en un campo, el borde debe cambiar a azul institucional (#36498f), el fondo a #f8f9ff, escalar a 1.02 (transform: scale(1.02)) y mostrar una sombra de 0 4px 15px rgba(54,73,143,0.1).</t>
  </si>
  <si>
    <t>Ícono de Ojo - El ícono fa-eye debe estar posicionado absolutamente a la derecha del campo (right: 10px, top: 50%, transform: translateY(-50%)), con cursor pointer, color #888, transición de 0.3s y z-index de 10.</t>
  </si>
  <si>
    <t>Animación del Ícono de Ojo - Al hacer clic en el ícono, este debe escalar temporalmente a 1.2 durante 200ms antes de volver a escala 1, alternando entre las clases fa-eye y fa-eye-slash.</t>
  </si>
  <si>
    <t>Enlace "¿Olvidaste tu contraseña?" - El enlace debe mostrarse en color #333, tamaño de 14px, sin decoración, con margen de 15px 0 y transición de 0.3s; al hacer hover debe cambiar a color #36498f y desplazarse 3px a la derecha (translateX(3px)).</t>
  </si>
  <si>
    <r>
      <rPr>
        <b/>
        <sz val="11"/>
        <color theme="1"/>
        <rFont val="Aptos Narrow"/>
        <family val="2"/>
      </rPr>
      <t xml:space="preserve">(Botones) </t>
    </r>
    <r>
      <rPr>
        <sz val="11"/>
        <color theme="1"/>
        <rFont val="Aptos Narrow"/>
        <family val="2"/>
      </rPr>
      <t>Botón Principal - Los botones deben tener border-radius de 20px, borde de 1px solid #36498f, fondo con degradado lineal de 135deg (#36498f a #087d4e), texto blanco, font-size de 12px, font-weight bold, padding de 12px 45px, letter-spacing de 1px, text-transform uppercase y transición de 0.3s.</t>
    </r>
  </si>
  <si>
    <t>Efecto Shine del Botón - Los botones implementan un pseudo-elemento ::before con degradado transparente-blanco(0.3)-transparente que se desplaza de left: -100% a left: 100% en 0.5s al hacer hover, simulando un efecto de brillo metálico.</t>
  </si>
  <si>
    <t>Hover del Botón - Al hacer hover, el degradado debe invertirse (#087d4e a #36498f), elevarse 2px (translateY(-2px)), mostrar sombra de 0 8px 25px rgba(54,73,143,0.4) y cambiar el borde a #087d4e.</t>
  </si>
  <si>
    <t>Active del Botón - Al presionar el botón, debe retornar a posición original y comprimirse a scale(0.95) con sombra reducida a 0 4px 15px rgba(54,73,143,0.3).</t>
  </si>
  <si>
    <t>Botón Ghost - Los botones "ghost" (Registrarse/Iniciar Sesión en overlay) deben tener fondo transparente, borde de 2px solid blanco y texto blanco; al hacer hover el fondo cambia al degradado institucional con sombra blanca difuminada de 0 8px 25px rgba(255,255,255,0.2).</t>
  </si>
  <si>
    <r>
      <rPr>
        <b/>
        <sz val="11"/>
        <color theme="1"/>
        <rFont val="Aptos Narrow"/>
        <family val="2"/>
      </rPr>
      <t xml:space="preserve">(Panel Overlay (Navegación Login/Registro)) </t>
    </r>
    <r>
      <rPr>
        <sz val="11"/>
        <color theme="1"/>
        <rFont val="Aptos Narrow"/>
        <family val="2"/>
      </rPr>
      <t>Overlay Container - El contenedor del overlay debe estar posicionado absolutamente en la mitad derecha (left: 50%, width: 50%), con overflow hidden, z-index de 100 y transición de transform de 0.6s ease-in-out.</t>
    </r>
  </si>
  <si>
    <t>Fondo del Overlay - El fondo debe ser un degradado lineal de izquierda a derecha entre azul institucional (#36498f) y verde esmeralda (#087d4e), con texto blanco (#FFFFFF) y ancho doble (200%) para permitir el efecto de deslizamiento.</t>
  </si>
  <si>
    <t>Paneles del Overlay - Cada panel del overlay debe tener display flex con dirección column, alineación centrada, padding de 40px, text-align center y transición de transform de 0.6s ease-in-out.</t>
  </si>
  <si>
    <t>Transición de Vistas - Al activarse la clase "right-panel-active", el sign-in-container se desplaza 100% a la derecha (translateX(100%)), el overlay-container se desplaza -100% (translateX(-100%)) y el overlay interno se desplaza 50% (translateX(50%)), con animación "show" de 0.6s para el sign-up-container.</t>
  </si>
  <si>
    <r>
      <rPr>
        <b/>
        <sz val="11"/>
        <color theme="1"/>
        <rFont val="Aptos Narrow"/>
        <family val="2"/>
      </rPr>
      <t xml:space="preserve">(Modal de Recuperación de Contraseña) </t>
    </r>
    <r>
      <rPr>
        <sz val="11"/>
        <color theme="1"/>
        <rFont val="Aptos Narrow"/>
        <family val="2"/>
      </rPr>
      <t>Overlay del Modal - El overlay debe usar position fixed cubriendo toda la pantalla, fondo rgba(0,0,0,0.6), display none por defecto, z-index de 2000, opacidad 0 con transición de opacidad de 0.3s; al activarse la clase "active" cambia a display flex y opacidad 1.</t>
    </r>
  </si>
  <si>
    <t>Contenedor del Modal - El modal debe tener fondo blanco (#fff), padding de 40px, border-radius de 15px, ancho de 90% con max-width de 450px, sombra de 0 5px 20px rgba(0,0,0,0.3), text-align center y animación de entrada con translateY de -20px a 0.</t>
  </si>
  <si>
    <t>Botón Cerrar Modal - El botón "×" debe estar posicionado absolutamente (top: 15px, right: 20px), font-size de 24px, cursor pointer, color #888 que cambia a #333 al hacer hover con transición de 0.3s.</t>
  </si>
  <si>
    <t>Pasos del Modal - Cada paso (recovery-step) debe estar oculto (display: none) por defecto y mostrarse (display: block) al tener la clase "active", con una animación fadeIn de 0.4s.</t>
  </si>
  <si>
    <t>Título del Modal - Los títulos h2 del modal deben tener color #333, text-align center y margin-bottom de 10px.</t>
  </si>
  <si>
    <t>Descripción del Modal - Los párrafos del modal deben usar font-size de 14px, font-weight de 100, line-height de 20px, color #666 y margin-bottom de 20px.</t>
  </si>
  <si>
    <t>Botones de Método de Envío - Las opciones de envío deben ser elementos con clase "btn-recovery-option": fondo #f8f9fa, borde de 2px solid #ddd, padding de 15px, border-radius de 10px, display flex con gap de 10px, font-weight bold, color #555, ancho completo; al hacer hover el borde cambia a #36498f, fondo a #f0f4ff, texto a #36498f y se desplaza 5px a la derecha.</t>
  </si>
  <si>
    <t>Ícono de Método de Envío - Los íconos dentro de las opciones de envío deben tener font-size de 1.2rem y color azul institucional (#36498f).</t>
  </si>
  <si>
    <t>Campo de Código - El campo de código de 6 dígitos debe tener text-align center, letter-spacing de 5px, font-size de 18px y maxlength de 6 caracteres.</t>
  </si>
  <si>
    <t>Ícono de Éxito - El ícono de checkmark (fa-circle-check) en el paso 4 debe tener font-size de 50px, color verde esmeralda (#087d4e) y margin-bottom de 20px.</t>
  </si>
  <si>
    <r>
      <rPr>
        <b/>
        <sz val="11"/>
        <color theme="1"/>
        <rFont val="Aptos Narrow"/>
        <family val="2"/>
      </rPr>
      <t xml:space="preserve">(Seguridad y Rendimiento) </t>
    </r>
    <r>
      <rPr>
        <sz val="11"/>
        <color theme="1"/>
        <rFont val="Aptos Narrow"/>
        <family val="2"/>
      </rPr>
      <t>Cabeceras de Seguridad OWASP - El backend (validar.php) debe enviar las cabeceras X-Content-Type-Options: nosniff, X-Frame-Options: DENY, X-XSS-Protection: 1; mode=block, Referrer-Policy: strict-origin-when-cross-origin y Content-Security-Policy: default-src 'self'.</t>
    </r>
  </si>
  <si>
    <t>Consultas Preparadas - Todas las consultas a la base de datos deben utilizar sentencias preparadas con parámetros nombrados (PDO prepare/execute) para prevenir inyección SQL.</t>
  </si>
  <si>
    <t>Contraseñas Hasheadas - Las contraseñas deben almacenarse utilizando password_hash() con PASSWORD_DEFAULT; el sistema soporta migración automática de contraseñas legadas (texto plano) a hash moderno mediante password_verify().</t>
  </si>
  <si>
    <t>Errores Genéricos - Los mensajes de error mostrados al usuario deben ser genéricos ("Usuario o contraseña incorrectos") sin revelar si fue el usuario o la contraseña lo que falló, conforme a OWASP A2.</t>
  </si>
  <si>
    <t>Logs de Auditoría - El sistema debe registrar en error_log cada intento de login fallido incluyendo el nombre de usuario y la dirección IP de origen ($_SERVER['REMOTE_ADDR']).</t>
  </si>
  <si>
    <t>Ocultación de Errores PHP - La directiva display_errors debe estar en '0' y error_reporting en E_ALL, registrando errores en el log del servidor sin mostrarlos al usuario.</t>
  </si>
  <si>
    <t>Verificación de Método HTTP - El backend solo debe aceptar peticiones POST, respondiendo con código 405 (Método no permitido) para cualquier otro método HTTP.</t>
  </si>
  <si>
    <r>
      <t xml:space="preserve">(Compatibilidad, Accesibilidad y Arquitectura) </t>
    </r>
    <r>
      <rPr>
        <sz val="11"/>
        <color theme="1"/>
        <rFont val="Aptos Narrow"/>
        <family val="2"/>
      </rPr>
      <t>Accesibilidad por Teclado - Todos los elementos interactivos (botones, íconos de ojo, enlaces) deben incluir atributo tabindex="0" y el ícono de ojo en recuperación debe responder a eventos keydown (Enter y Espacio); el CSS debe implementar :focus-visible con outline de 3px solid #36498f, outline-offset de 3px y box-shadow de 0 0 0 5px rgba(54,73,143,0.2).</t>
    </r>
  </si>
  <si>
    <t>Ocultación de Controles del Navegador - Los controles nativos del navegador para revelar contraseña (input::-ms-reveal, input::-ms-clear) y autocompletar (input::-webkit-contacts-auto-fill-button) deben ocultarse mediante CSS para evitar conflicto con el ícono personalizado.</t>
  </si>
  <si>
    <t>Carga de Scripts - El script principal de lógica (inicio_sesion.js) debe cargarse al final del body (después del cierre del contenido) con QueryString de versión (?v=100) para romper caché; el script de seguridad (security.js) se carga en el head.</t>
  </si>
  <si>
    <t>Separación de Responsabilidades - La lógica de autenticación (inicio_sesion.js), los estilos visuales (estilos_inicio_sesion.css) y la seguridad (security.js) deben mantenerse en archivos externos independientes, referenciados desde el HTML con QueryString dinámico para control de versiones.</t>
  </si>
  <si>
    <t>Cierre de sesión automático tras un periodo configurable desde tab_parametros (ind_idle).</t>
  </si>
  <si>
    <t>reem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</si>
</sst>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1"/>
      <color theme="1"/>
      <name val="Aptos Narrow"/>
      <scheme val="minor"/>
    </font>
    <font>
      <sz val="11"/>
      <color theme="1"/>
      <name val="Aptos Narrow"/>
      <family val="2"/>
      <scheme val="minor"/>
    </font>
    <font>
      <sz val="11"/>
      <color theme="1"/>
      <name val="Aptos Narrow"/>
      <family val="2"/>
      <scheme val="minor"/>
    </font>
    <font>
      <sz val="11"/>
      <color theme="1"/>
      <name val="Aptos Narrow"/>
      <family val="2"/>
      <scheme val="minor"/>
    </font>
    <font>
      <sz val="14"/>
      <color theme="1"/>
      <name val="Aptos Narrow"/>
    </font>
    <font>
      <sz val="11"/>
      <name val="Aptos Narrow"/>
    </font>
    <font>
      <u/>
      <sz val="14"/>
      <color theme="10"/>
      <name val="Aptos Narrow"/>
    </font>
    <font>
      <sz val="11"/>
      <color theme="1"/>
      <name val="Aptos Narrow"/>
    </font>
    <font>
      <u/>
      <sz val="14"/>
      <color theme="10"/>
      <name val="Aptos Narrow"/>
    </font>
    <font>
      <u/>
      <sz val="14"/>
      <color theme="10"/>
      <name val="Aptos Narrow"/>
    </font>
    <font>
      <u/>
      <sz val="14"/>
      <color theme="10"/>
      <name val="Aptos Narrow"/>
    </font>
    <font>
      <sz val="18"/>
      <color theme="1"/>
      <name val="Aptos Narrow"/>
    </font>
    <font>
      <b/>
      <sz val="10"/>
      <color theme="1"/>
      <name val="Aptos Narrow"/>
    </font>
    <font>
      <sz val="10"/>
      <color theme="1"/>
      <name val="Aptos Narrow"/>
    </font>
    <font>
      <u/>
      <sz val="14"/>
      <color theme="10"/>
      <name val="Aptos Narrow"/>
    </font>
    <font>
      <sz val="10"/>
      <color theme="9"/>
      <name val="Noto Sans Symbols"/>
    </font>
    <font>
      <b/>
      <sz val="11"/>
      <color theme="1"/>
      <name val="Aptos Narrow"/>
    </font>
    <font>
      <sz val="12"/>
      <color theme="1"/>
      <name val="Aptos"/>
    </font>
    <font>
      <b/>
      <sz val="12"/>
      <color rgb="FF000000"/>
      <name val="Aptos"/>
    </font>
    <font>
      <sz val="12"/>
      <color rgb="FF000000"/>
      <name val="Aptos"/>
    </font>
    <font>
      <sz val="11"/>
      <color theme="1"/>
      <name val="Aptos Narrow"/>
      <scheme val="minor"/>
    </font>
    <font>
      <u/>
      <sz val="11"/>
      <color theme="1"/>
      <name val="Aptos Narrow"/>
    </font>
    <font>
      <u/>
      <sz val="14"/>
      <color theme="10"/>
      <name val="Aptos Narrow"/>
    </font>
    <font>
      <sz val="8"/>
      <color theme="1"/>
      <name val="Aptos Narrow"/>
    </font>
    <font>
      <u/>
      <sz val="11"/>
      <color theme="10"/>
      <name val="Aptos Narrow"/>
    </font>
    <font>
      <u/>
      <sz val="11"/>
      <color theme="10"/>
      <name val="Aptos Narrow"/>
      <scheme val="minor"/>
    </font>
    <font>
      <sz val="11"/>
      <color theme="1"/>
      <name val="Aptos Narrow"/>
      <family val="2"/>
    </font>
    <font>
      <u/>
      <sz val="16"/>
      <color theme="10"/>
      <name val="Aptos Narrow"/>
      <family val="2"/>
    </font>
    <font>
      <u/>
      <sz val="14"/>
      <color theme="10"/>
      <name val="Aptos Narrow"/>
      <family val="2"/>
      <scheme val="minor"/>
    </font>
    <font>
      <b/>
      <sz val="11"/>
      <color theme="1"/>
      <name val="Aptos Narrow"/>
      <family val="2"/>
    </font>
    <font>
      <u/>
      <sz val="14"/>
      <color theme="10"/>
      <name val="Aptos Narrow"/>
      <family val="2"/>
    </font>
    <font>
      <sz val="11"/>
      <color theme="1"/>
      <name val="Aptos Narrow"/>
      <family val="2"/>
      <scheme val="major"/>
    </font>
    <font>
      <sz val="12"/>
      <color theme="1"/>
      <name val="Aptos Narrow"/>
      <family val="2"/>
    </font>
    <font>
      <sz val="14"/>
      <color theme="1"/>
      <name val="Aptos Narrow"/>
      <family val="2"/>
    </font>
    <font>
      <sz val="14"/>
      <name val="Aptos Narrow"/>
      <family val="2"/>
    </font>
  </fonts>
  <fills count="6">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3E5A1"/>
        <bgColor rgb="FFB3E5A1"/>
      </patternFill>
    </fill>
    <fill>
      <patternFill patternType="solid">
        <fgColor rgb="FFFFFF00"/>
        <bgColor indexed="64"/>
      </patternFill>
    </fill>
  </fills>
  <borders count="47">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diagonal/>
    </border>
    <border>
      <left style="thin">
        <color rgb="FF747474"/>
      </left>
      <right/>
      <top style="thin">
        <color rgb="FF747474"/>
      </top>
      <bottom style="thin">
        <color rgb="FF747474"/>
      </bottom>
      <diagonal/>
    </border>
    <border>
      <left/>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style="thin">
        <color rgb="FF747474"/>
      </top>
      <bottom/>
      <diagonal/>
    </border>
    <border>
      <left style="thin">
        <color rgb="FF747474"/>
      </left>
      <right style="thin">
        <color rgb="FF747474"/>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bottom style="thin">
        <color rgb="FF747474"/>
      </bottom>
      <diagonal/>
    </border>
    <border>
      <left/>
      <right style="thin">
        <color rgb="FF74747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5" fillId="0" borderId="0" applyNumberFormat="0" applyFill="0" applyBorder="0" applyAlignment="0" applyProtection="0"/>
  </cellStyleXfs>
  <cellXfs count="192">
    <xf numFmtId="0" fontId="0" fillId="0" borderId="0" xfId="0"/>
    <xf numFmtId="0" fontId="4" fillId="2" borderId="1" xfId="0" applyFont="1" applyFill="1" applyBorder="1"/>
    <xf numFmtId="0" fontId="4" fillId="2" borderId="2" xfId="0" applyFont="1" applyFill="1" applyBorder="1"/>
    <xf numFmtId="0" fontId="4" fillId="2" borderId="3" xfId="0" applyFont="1" applyFill="1" applyBorder="1"/>
    <xf numFmtId="0" fontId="4" fillId="2" borderId="4" xfId="0" applyFont="1" applyFill="1" applyBorder="1"/>
    <xf numFmtId="0" fontId="4" fillId="2" borderId="5" xfId="0" applyFont="1" applyFill="1" applyBorder="1"/>
    <xf numFmtId="0" fontId="4" fillId="2" borderId="6" xfId="0" applyFont="1" applyFill="1" applyBorder="1"/>
    <xf numFmtId="0" fontId="4" fillId="2" borderId="10" xfId="0" applyFont="1" applyFill="1" applyBorder="1" applyAlignment="1">
      <alignment horizontal="center" vertical="center"/>
    </xf>
    <xf numFmtId="0" fontId="4" fillId="2" borderId="5" xfId="0" applyFont="1" applyFill="1" applyBorder="1" applyAlignment="1">
      <alignment horizontal="left" vertical="center"/>
    </xf>
    <xf numFmtId="0" fontId="4" fillId="2" borderId="17" xfId="0" applyFont="1" applyFill="1" applyBorder="1"/>
    <xf numFmtId="0" fontId="7" fillId="2" borderId="5" xfId="0" applyFont="1" applyFill="1" applyBorder="1"/>
    <xf numFmtId="10" fontId="4" fillId="2" borderId="10" xfId="0" applyNumberFormat="1" applyFont="1" applyFill="1" applyBorder="1" applyAlignment="1">
      <alignment horizontal="center" vertical="center"/>
    </xf>
    <xf numFmtId="0" fontId="4" fillId="2" borderId="18" xfId="0" applyFont="1" applyFill="1" applyBorder="1"/>
    <xf numFmtId="0" fontId="4" fillId="2" borderId="19" xfId="0" applyFont="1" applyFill="1" applyBorder="1"/>
    <xf numFmtId="0" fontId="4" fillId="2" borderId="20" xfId="0" applyFont="1" applyFill="1" applyBorder="1"/>
    <xf numFmtId="0" fontId="7" fillId="2" borderId="2" xfId="0" applyFont="1" applyFill="1" applyBorder="1"/>
    <xf numFmtId="0" fontId="7" fillId="2" borderId="3" xfId="0" applyFont="1" applyFill="1" applyBorder="1"/>
    <xf numFmtId="0" fontId="7" fillId="0" borderId="0" xfId="0" applyFont="1" applyAlignment="1">
      <alignment horizontal="center" vertical="center"/>
    </xf>
    <xf numFmtId="0" fontId="7" fillId="2" borderId="6" xfId="0" applyFont="1" applyFill="1" applyBorder="1"/>
    <xf numFmtId="0" fontId="10" fillId="2" borderId="5" xfId="0" applyFont="1" applyFill="1" applyBorder="1" applyAlignment="1">
      <alignment horizontal="center" vertical="center"/>
    </xf>
    <xf numFmtId="0" fontId="7" fillId="2" borderId="19" xfId="0" applyFont="1" applyFill="1" applyBorder="1"/>
    <xf numFmtId="0" fontId="7" fillId="2" borderId="20" xfId="0" applyFont="1" applyFill="1" applyBorder="1"/>
    <xf numFmtId="0" fontId="7" fillId="2" borderId="1" xfId="0" applyFont="1" applyFill="1" applyBorder="1"/>
    <xf numFmtId="0" fontId="7" fillId="2" borderId="4" xfId="0" applyFont="1" applyFill="1" applyBorder="1"/>
    <xf numFmtId="0" fontId="7" fillId="2" borderId="18" xfId="0" applyFont="1" applyFill="1" applyBorder="1"/>
    <xf numFmtId="0" fontId="7" fillId="0" borderId="0" xfId="0" applyFont="1" applyAlignment="1">
      <alignment horizontal="center"/>
    </xf>
    <xf numFmtId="0" fontId="12" fillId="0" borderId="0" xfId="0" applyFont="1" applyAlignment="1">
      <alignment horizontal="center"/>
    </xf>
    <xf numFmtId="0" fontId="14" fillId="0" borderId="0" xfId="0" applyFont="1" applyAlignment="1">
      <alignment horizontal="center" vertical="center"/>
    </xf>
    <xf numFmtId="0" fontId="13" fillId="0" borderId="0" xfId="0" applyFont="1"/>
    <xf numFmtId="0" fontId="12" fillId="0" borderId="0" xfId="0" applyFont="1"/>
    <xf numFmtId="0" fontId="15" fillId="0" borderId="0" xfId="0" applyFont="1" applyAlignment="1">
      <alignment horizontal="center" vertical="center"/>
    </xf>
    <xf numFmtId="0" fontId="17" fillId="4" borderId="5" xfId="0" applyFont="1" applyFill="1" applyBorder="1" applyAlignment="1">
      <alignment horizontal="center" vertical="center"/>
    </xf>
    <xf numFmtId="0" fontId="7" fillId="4" borderId="5" xfId="0" applyFont="1" applyFill="1" applyBorder="1"/>
    <xf numFmtId="0" fontId="16" fillId="3" borderId="34" xfId="0" applyFont="1" applyFill="1" applyBorder="1" applyAlignment="1">
      <alignment horizontal="center" vertical="center"/>
    </xf>
    <xf numFmtId="0" fontId="16" fillId="3" borderId="35" xfId="0" applyFont="1" applyFill="1" applyBorder="1" applyAlignment="1">
      <alignment horizontal="center" vertical="center"/>
    </xf>
    <xf numFmtId="0" fontId="17" fillId="0" borderId="0" xfId="0" applyFont="1" applyAlignment="1">
      <alignment horizontal="center" vertical="center"/>
    </xf>
    <xf numFmtId="0" fontId="18" fillId="4" borderId="5" xfId="0" applyFont="1" applyFill="1" applyBorder="1" applyAlignment="1">
      <alignment horizontal="center" vertical="center"/>
    </xf>
    <xf numFmtId="0" fontId="19" fillId="4" borderId="5" xfId="0" applyFont="1" applyFill="1" applyBorder="1" applyAlignment="1">
      <alignment horizontal="center" vertical="center"/>
    </xf>
    <xf numFmtId="0" fontId="7" fillId="0" borderId="37" xfId="0" applyFont="1" applyBorder="1" applyAlignment="1">
      <alignment vertical="center" wrapText="1"/>
    </xf>
    <xf numFmtId="0" fontId="7" fillId="0" borderId="34" xfId="0" applyFont="1" applyBorder="1" applyAlignment="1">
      <alignment horizontal="center" vertical="center"/>
    </xf>
    <xf numFmtId="0" fontId="7" fillId="0" borderId="0" xfId="0" applyFont="1" applyAlignment="1">
      <alignment horizontal="left" vertical="center"/>
    </xf>
    <xf numFmtId="0" fontId="18" fillId="4" borderId="5" xfId="0" applyFont="1" applyFill="1" applyBorder="1" applyAlignment="1">
      <alignment vertical="center"/>
    </xf>
    <xf numFmtId="0" fontId="7" fillId="0" borderId="0" xfId="0" applyFont="1" applyAlignment="1">
      <alignment vertical="center" wrapText="1"/>
    </xf>
    <xf numFmtId="0" fontId="20" fillId="0" borderId="0" xfId="0" applyFont="1"/>
    <xf numFmtId="0" fontId="7" fillId="0" borderId="32" xfId="0" applyFont="1" applyBorder="1" applyAlignment="1">
      <alignment vertical="center"/>
    </xf>
    <xf numFmtId="0" fontId="21" fillId="0" borderId="0" xfId="0" applyFont="1"/>
    <xf numFmtId="0" fontId="22" fillId="2" borderId="10" xfId="0" applyFont="1" applyFill="1" applyBorder="1" applyAlignment="1">
      <alignment horizontal="center" vertical="center"/>
    </xf>
    <xf numFmtId="0" fontId="7" fillId="0" borderId="34" xfId="0" applyFont="1" applyBorder="1"/>
    <xf numFmtId="0" fontId="7" fillId="0" borderId="32" xfId="0" applyFont="1" applyBorder="1"/>
    <xf numFmtId="0" fontId="23" fillId="0" borderId="0" xfId="0" applyFont="1"/>
    <xf numFmtId="0" fontId="7" fillId="0" borderId="0" xfId="0" applyFont="1" applyAlignment="1">
      <alignment vertical="center"/>
    </xf>
    <xf numFmtId="0" fontId="7" fillId="0" borderId="32" xfId="0" applyFont="1" applyBorder="1" applyAlignment="1">
      <alignment horizontal="center" vertical="center"/>
    </xf>
    <xf numFmtId="0" fontId="24" fillId="2" borderId="10" xfId="0" applyFont="1" applyFill="1" applyBorder="1" applyAlignment="1">
      <alignment horizontal="center" vertical="center"/>
    </xf>
    <xf numFmtId="0" fontId="7" fillId="2" borderId="34" xfId="0" applyFont="1" applyFill="1" applyBorder="1" applyAlignment="1">
      <alignment horizontal="center" vertical="center" wrapText="1"/>
    </xf>
    <xf numFmtId="0" fontId="7" fillId="0" borderId="34" xfId="0" applyFont="1" applyBorder="1" applyAlignment="1">
      <alignment horizontal="center" vertical="center" wrapText="1"/>
    </xf>
    <xf numFmtId="0" fontId="7" fillId="0" borderId="32" xfId="0" applyFont="1" applyBorder="1" applyAlignment="1">
      <alignment horizontal="center" vertical="center" wrapText="1"/>
    </xf>
    <xf numFmtId="0" fontId="7" fillId="0" borderId="0" xfId="0" applyFont="1" applyAlignment="1">
      <alignment horizontal="center" vertical="center" wrapText="1"/>
    </xf>
    <xf numFmtId="0" fontId="7" fillId="0" borderId="35" xfId="0" applyFont="1" applyBorder="1" applyAlignment="1">
      <alignment horizontal="center" vertical="center" wrapText="1"/>
    </xf>
    <xf numFmtId="0" fontId="19" fillId="4" borderId="29" xfId="0" applyFont="1" applyFill="1" applyBorder="1" applyAlignment="1">
      <alignment horizontal="center" vertical="center"/>
    </xf>
    <xf numFmtId="0" fontId="7" fillId="0" borderId="29" xfId="0" applyFont="1" applyBorder="1" applyAlignment="1">
      <alignment vertical="center" wrapText="1"/>
    </xf>
    <xf numFmtId="0" fontId="7" fillId="2" borderId="21" xfId="0" applyFont="1" applyFill="1" applyBorder="1" applyAlignment="1">
      <alignment horizontal="center" vertical="center"/>
    </xf>
    <xf numFmtId="0" fontId="27" fillId="2" borderId="10" xfId="0" applyFont="1" applyFill="1" applyBorder="1" applyAlignment="1">
      <alignment horizontal="center" vertical="center"/>
    </xf>
    <xf numFmtId="0" fontId="26" fillId="2" borderId="34" xfId="0" applyFont="1" applyFill="1" applyBorder="1" applyAlignment="1">
      <alignment horizontal="center" vertical="center" wrapText="1"/>
    </xf>
    <xf numFmtId="0" fontId="3" fillId="0" borderId="0" xfId="0" applyFont="1"/>
    <xf numFmtId="0" fontId="0" fillId="0" borderId="38" xfId="0" applyBorder="1" applyAlignment="1">
      <alignment horizontal="center" vertical="center"/>
    </xf>
    <xf numFmtId="0" fontId="3" fillId="0" borderId="38" xfId="0" applyFont="1" applyBorder="1" applyAlignment="1">
      <alignment horizontal="center" vertical="center"/>
    </xf>
    <xf numFmtId="0" fontId="17" fillId="4" borderId="5" xfId="0" applyFont="1" applyFill="1" applyBorder="1" applyAlignment="1">
      <alignment horizontal="center" vertical="center" wrapText="1"/>
    </xf>
    <xf numFmtId="0" fontId="7" fillId="0" borderId="0" xfId="0" applyFont="1" applyAlignment="1">
      <alignment horizontal="left" vertical="center" wrapText="1"/>
    </xf>
    <xf numFmtId="0" fontId="0" fillId="0" borderId="0" xfId="0" applyAlignment="1">
      <alignment wrapText="1"/>
    </xf>
    <xf numFmtId="0" fontId="4" fillId="2" borderId="24" xfId="0" applyFont="1" applyFill="1" applyBorder="1"/>
    <xf numFmtId="0" fontId="4" fillId="2" borderId="29" xfId="0" applyFont="1" applyFill="1" applyBorder="1"/>
    <xf numFmtId="0" fontId="4" fillId="2" borderId="25" xfId="0" applyFont="1" applyFill="1" applyBorder="1"/>
    <xf numFmtId="0" fontId="6" fillId="2" borderId="10" xfId="0" applyFont="1" applyFill="1" applyBorder="1" applyAlignment="1">
      <alignment horizontal="center" vertical="center"/>
    </xf>
    <xf numFmtId="0" fontId="2" fillId="0" borderId="0" xfId="0" applyFont="1"/>
    <xf numFmtId="0" fontId="26" fillId="0" borderId="34" xfId="0" applyFont="1" applyBorder="1" applyAlignment="1">
      <alignment horizontal="center" vertical="center" wrapText="1"/>
    </xf>
    <xf numFmtId="0" fontId="26" fillId="0" borderId="34" xfId="0" applyFont="1" applyBorder="1" applyAlignment="1">
      <alignment horizontal="center" vertical="center"/>
    </xf>
    <xf numFmtId="0" fontId="7" fillId="0" borderId="35" xfId="0" applyFont="1" applyBorder="1"/>
    <xf numFmtId="0" fontId="28" fillId="2" borderId="10" xfId="1" applyFont="1" applyFill="1" applyBorder="1" applyAlignment="1">
      <alignment horizontal="center" vertical="center"/>
    </xf>
    <xf numFmtId="0" fontId="30" fillId="2" borderId="10" xfId="0" applyFont="1" applyFill="1" applyBorder="1" applyAlignment="1">
      <alignment horizontal="center" vertical="center"/>
    </xf>
    <xf numFmtId="0" fontId="31" fillId="0" borderId="34" xfId="0" applyFont="1" applyBorder="1" applyAlignment="1">
      <alignment horizontal="center" vertical="center"/>
    </xf>
    <xf numFmtId="0" fontId="32" fillId="2" borderId="10" xfId="0" applyFont="1" applyFill="1" applyBorder="1" applyAlignment="1">
      <alignment horizontal="center" vertical="center"/>
    </xf>
    <xf numFmtId="0" fontId="4" fillId="2" borderId="39" xfId="0" applyFont="1" applyFill="1" applyBorder="1"/>
    <xf numFmtId="0" fontId="4" fillId="2" borderId="40" xfId="0" applyFont="1" applyFill="1" applyBorder="1"/>
    <xf numFmtId="0" fontId="4" fillId="2" borderId="41" xfId="0" applyFont="1" applyFill="1" applyBorder="1"/>
    <xf numFmtId="0" fontId="4" fillId="2" borderId="42" xfId="0" applyFont="1" applyFill="1" applyBorder="1"/>
    <xf numFmtId="0" fontId="4" fillId="2" borderId="43" xfId="0" applyFont="1" applyFill="1" applyBorder="1"/>
    <xf numFmtId="0" fontId="4" fillId="2" borderId="29" xfId="0" applyFont="1" applyFill="1" applyBorder="1" applyAlignment="1">
      <alignment horizontal="left" vertical="center"/>
    </xf>
    <xf numFmtId="0" fontId="7" fillId="2" borderId="29" xfId="0" applyFont="1" applyFill="1" applyBorder="1"/>
    <xf numFmtId="0" fontId="4" fillId="2" borderId="8" xfId="0" applyFont="1" applyFill="1" applyBorder="1"/>
    <xf numFmtId="0" fontId="4" fillId="2" borderId="44" xfId="0" applyFont="1" applyFill="1" applyBorder="1"/>
    <xf numFmtId="0" fontId="4" fillId="2" borderId="45" xfId="0" applyFont="1" applyFill="1" applyBorder="1"/>
    <xf numFmtId="0" fontId="4" fillId="2" borderId="46" xfId="0" applyFont="1" applyFill="1" applyBorder="1"/>
    <xf numFmtId="0" fontId="10" fillId="2" borderId="38" xfId="0" applyFont="1" applyFill="1" applyBorder="1" applyAlignment="1">
      <alignment horizontal="center" vertical="center"/>
    </xf>
    <xf numFmtId="0" fontId="33" fillId="2" borderId="1" xfId="0" applyFont="1" applyFill="1" applyBorder="1"/>
    <xf numFmtId="0" fontId="33" fillId="2" borderId="2" xfId="0" applyFont="1" applyFill="1" applyBorder="1"/>
    <xf numFmtId="0" fontId="33" fillId="2" borderId="3" xfId="0" applyFont="1" applyFill="1" applyBorder="1"/>
    <xf numFmtId="0" fontId="33" fillId="2" borderId="4" xfId="0" applyFont="1" applyFill="1" applyBorder="1"/>
    <xf numFmtId="0" fontId="33" fillId="2" borderId="5" xfId="0" applyFont="1" applyFill="1" applyBorder="1"/>
    <xf numFmtId="0" fontId="33" fillId="2" borderId="6" xfId="0" applyFont="1" applyFill="1" applyBorder="1"/>
    <xf numFmtId="0" fontId="33" fillId="0" borderId="25" xfId="0" applyFont="1" applyBorder="1"/>
    <xf numFmtId="0" fontId="33" fillId="2" borderId="24" xfId="0" applyFont="1" applyFill="1" applyBorder="1"/>
    <xf numFmtId="0" fontId="33" fillId="2" borderId="25" xfId="0" applyFont="1" applyFill="1" applyBorder="1"/>
    <xf numFmtId="0" fontId="33" fillId="2" borderId="18" xfId="0" applyFont="1" applyFill="1" applyBorder="1"/>
    <xf numFmtId="0" fontId="33" fillId="2" borderId="19" xfId="0" applyFont="1" applyFill="1" applyBorder="1"/>
    <xf numFmtId="0" fontId="33" fillId="2" borderId="20" xfId="0" applyFont="1" applyFill="1" applyBorder="1"/>
    <xf numFmtId="0" fontId="30" fillId="2" borderId="5" xfId="0" applyFont="1" applyFill="1" applyBorder="1" applyAlignment="1">
      <alignment horizontal="center" vertical="center"/>
    </xf>
    <xf numFmtId="0" fontId="33" fillId="2" borderId="21" xfId="0" applyFont="1" applyFill="1" applyBorder="1" applyAlignment="1">
      <alignment horizontal="center" vertical="center"/>
    </xf>
    <xf numFmtId="0" fontId="33" fillId="2" borderId="2" xfId="0" applyFont="1" applyFill="1" applyBorder="1" applyAlignment="1">
      <alignment horizontal="center" vertical="center"/>
    </xf>
    <xf numFmtId="0" fontId="33" fillId="2" borderId="5" xfId="0" applyFont="1" applyFill="1" applyBorder="1" applyAlignment="1">
      <alignment horizontal="center" vertical="center"/>
    </xf>
    <xf numFmtId="0" fontId="33" fillId="0" borderId="0" xfId="0" applyFont="1" applyAlignment="1">
      <alignment horizontal="center" vertical="center"/>
    </xf>
    <xf numFmtId="0" fontId="33" fillId="2" borderId="29" xfId="0" applyFont="1" applyFill="1" applyBorder="1" applyAlignment="1">
      <alignment horizontal="center" vertical="center"/>
    </xf>
    <xf numFmtId="0" fontId="33" fillId="2" borderId="19"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5" xfId="0" applyFont="1" applyFill="1" applyBorder="1" applyAlignment="1">
      <alignment horizontal="center" vertical="center"/>
    </xf>
    <xf numFmtId="0" fontId="4" fillId="0" borderId="0" xfId="0" applyFont="1" applyAlignment="1">
      <alignment horizontal="center" vertical="center"/>
    </xf>
    <xf numFmtId="0" fontId="4" fillId="2" borderId="29" xfId="0" applyFont="1" applyFill="1" applyBorder="1" applyAlignment="1">
      <alignment horizontal="center" vertical="center"/>
    </xf>
    <xf numFmtId="0" fontId="4" fillId="2" borderId="19" xfId="0" applyFont="1" applyFill="1" applyBorder="1" applyAlignment="1">
      <alignment horizontal="center" vertical="center"/>
    </xf>
    <xf numFmtId="0" fontId="7" fillId="2" borderId="5" xfId="0" applyFont="1" applyFill="1" applyBorder="1" applyAlignment="1">
      <alignment horizontal="center" vertical="center"/>
    </xf>
    <xf numFmtId="0" fontId="7" fillId="0" borderId="29" xfId="0" applyFont="1" applyBorder="1" applyAlignment="1">
      <alignment horizontal="center" vertical="center" wrapText="1"/>
    </xf>
    <xf numFmtId="0" fontId="5" fillId="0" borderId="29" xfId="0" applyFont="1" applyBorder="1"/>
    <xf numFmtId="0" fontId="7" fillId="0" borderId="14" xfId="0" applyFont="1" applyBorder="1" applyAlignment="1">
      <alignment horizontal="center" vertical="center" wrapText="1"/>
    </xf>
    <xf numFmtId="0" fontId="5" fillId="0" borderId="15" xfId="0" applyFont="1" applyBorder="1"/>
    <xf numFmtId="0" fontId="5" fillId="0" borderId="16" xfId="0" applyFont="1" applyBorder="1"/>
    <xf numFmtId="0" fontId="16" fillId="3" borderId="30" xfId="0" applyFont="1" applyFill="1" applyBorder="1" applyAlignment="1">
      <alignment horizontal="center" vertical="center"/>
    </xf>
    <xf numFmtId="0" fontId="5" fillId="0" borderId="31" xfId="0" applyFont="1" applyBorder="1"/>
    <xf numFmtId="0" fontId="5" fillId="0" borderId="32" xfId="0" applyFont="1" applyBorder="1"/>
    <xf numFmtId="0" fontId="26" fillId="0" borderId="14" xfId="0" applyFont="1" applyBorder="1" applyAlignment="1">
      <alignment horizontal="center" vertical="center" wrapText="1"/>
    </xf>
    <xf numFmtId="0" fontId="16" fillId="3" borderId="33" xfId="0" applyFont="1" applyFill="1" applyBorder="1" applyAlignment="1">
      <alignment horizontal="center" vertical="center"/>
    </xf>
    <xf numFmtId="0" fontId="5" fillId="0" borderId="36" xfId="0" applyFont="1" applyBorder="1"/>
    <xf numFmtId="0" fontId="16" fillId="4" borderId="21" xfId="0" applyFont="1" applyFill="1" applyBorder="1" applyAlignment="1">
      <alignment horizontal="center"/>
    </xf>
    <xf numFmtId="0" fontId="5" fillId="0" borderId="22" xfId="0" applyFont="1" applyBorder="1"/>
    <xf numFmtId="0" fontId="5" fillId="0" borderId="23" xfId="0" applyFont="1" applyBorder="1"/>
    <xf numFmtId="0" fontId="18" fillId="4" borderId="26" xfId="0" applyFont="1" applyFill="1" applyBorder="1" applyAlignment="1">
      <alignment horizontal="left" vertical="center"/>
    </xf>
    <xf numFmtId="0" fontId="5" fillId="0" borderId="27" xfId="0" applyFont="1" applyBorder="1"/>
    <xf numFmtId="0" fontId="5" fillId="0" borderId="28" xfId="0" applyFont="1" applyBorder="1"/>
    <xf numFmtId="0" fontId="13" fillId="0" borderId="0" xfId="0" applyFont="1" applyAlignment="1">
      <alignment horizontal="center"/>
    </xf>
    <xf numFmtId="0" fontId="0" fillId="0" borderId="0" xfId="0"/>
    <xf numFmtId="0" fontId="12" fillId="0" borderId="0" xfId="0" applyFont="1" applyAlignment="1">
      <alignment horizontal="left"/>
    </xf>
    <xf numFmtId="0" fontId="4" fillId="2" borderId="7" xfId="0" applyFont="1" applyFill="1" applyBorder="1" applyAlignment="1">
      <alignment horizontal="center" vertical="center"/>
    </xf>
    <xf numFmtId="0" fontId="5" fillId="0" borderId="8" xfId="0" applyFont="1" applyBorder="1"/>
    <xf numFmtId="0" fontId="5" fillId="0" borderId="9" xfId="0" applyFont="1" applyBorder="1"/>
    <xf numFmtId="0" fontId="5" fillId="0" borderId="18" xfId="0" applyFont="1" applyBorder="1"/>
    <xf numFmtId="0" fontId="5" fillId="0" borderId="20" xfId="0" applyFont="1" applyBorder="1"/>
    <xf numFmtId="0" fontId="28" fillId="2" borderId="14" xfId="1" applyFont="1" applyFill="1" applyBorder="1" applyAlignment="1">
      <alignment horizontal="center" vertical="center"/>
    </xf>
    <xf numFmtId="0" fontId="28" fillId="0" borderId="17" xfId="1" applyFont="1" applyBorder="1"/>
    <xf numFmtId="0" fontId="28" fillId="0" borderId="16" xfId="1" applyFont="1" applyBorder="1"/>
    <xf numFmtId="0" fontId="4" fillId="2" borderId="14" xfId="0" applyFont="1" applyFill="1" applyBorder="1" applyAlignment="1">
      <alignment horizontal="center" vertical="center"/>
    </xf>
    <xf numFmtId="0" fontId="5" fillId="0" borderId="17" xfId="0" applyFont="1" applyBorder="1"/>
    <xf numFmtId="0" fontId="6" fillId="2" borderId="14" xfId="0" applyFont="1" applyFill="1" applyBorder="1" applyAlignment="1">
      <alignment horizontal="center" vertical="center"/>
    </xf>
    <xf numFmtId="0" fontId="5" fillId="0" borderId="17" xfId="0" applyFont="1" applyBorder="1" applyAlignment="1">
      <alignment horizontal="center" vertical="center"/>
    </xf>
    <xf numFmtId="0" fontId="5" fillId="0" borderId="16" xfId="0" applyFont="1" applyBorder="1" applyAlignment="1">
      <alignment horizontal="center" vertical="center"/>
    </xf>
    <xf numFmtId="0" fontId="8" fillId="2" borderId="29" xfId="0" applyFont="1" applyFill="1" applyBorder="1" applyAlignment="1">
      <alignment horizontal="center"/>
    </xf>
    <xf numFmtId="0" fontId="4" fillId="2" borderId="21" xfId="0" applyFont="1" applyFill="1" applyBorder="1" applyAlignment="1">
      <alignment horizontal="center" vertical="center"/>
    </xf>
    <xf numFmtId="0" fontId="9" fillId="2" borderId="21" xfId="0" applyFont="1" applyFill="1" applyBorder="1" applyAlignment="1">
      <alignment horizontal="left" vertical="center"/>
    </xf>
    <xf numFmtId="0" fontId="11" fillId="2" borderId="7" xfId="0" applyFont="1" applyFill="1" applyBorder="1" applyAlignment="1">
      <alignment horizontal="center" vertical="center" wrapText="1"/>
    </xf>
    <xf numFmtId="0" fontId="5" fillId="0" borderId="24" xfId="0" applyFont="1" applyBorder="1"/>
    <xf numFmtId="0" fontId="5" fillId="0" borderId="25" xfId="0" applyFont="1" applyBorder="1"/>
    <xf numFmtId="0" fontId="5" fillId="0" borderId="11" xfId="0" applyFont="1" applyBorder="1"/>
    <xf numFmtId="0" fontId="5" fillId="0" borderId="12" xfId="0" applyFont="1" applyBorder="1"/>
    <xf numFmtId="0" fontId="5" fillId="0" borderId="13" xfId="0" applyFont="1" applyBorder="1"/>
    <xf numFmtId="0" fontId="4" fillId="2" borderId="14" xfId="0" applyFont="1" applyFill="1" applyBorder="1" applyAlignment="1">
      <alignment horizontal="center"/>
    </xf>
    <xf numFmtId="0" fontId="4" fillId="2" borderId="21" xfId="0" applyFont="1" applyFill="1" applyBorder="1" applyAlignment="1">
      <alignment horizontal="center"/>
    </xf>
    <xf numFmtId="0" fontId="33" fillId="2" borderId="21" xfId="0" applyFont="1" applyFill="1" applyBorder="1" applyAlignment="1">
      <alignment horizontal="left" vertical="center"/>
    </xf>
    <xf numFmtId="0" fontId="34" fillId="0" borderId="22" xfId="0" applyFont="1" applyBorder="1"/>
    <xf numFmtId="0" fontId="34" fillId="0" borderId="23" xfId="0" applyFont="1" applyBorder="1"/>
    <xf numFmtId="0" fontId="33" fillId="2" borderId="26" xfId="0" applyFont="1" applyFill="1" applyBorder="1" applyAlignment="1">
      <alignment horizontal="center"/>
    </xf>
    <xf numFmtId="0" fontId="34" fillId="0" borderId="27" xfId="0" applyFont="1" applyBorder="1"/>
    <xf numFmtId="0" fontId="34" fillId="0" borderId="28" xfId="0" applyFont="1" applyBorder="1"/>
    <xf numFmtId="0" fontId="28" fillId="2" borderId="21" xfId="1" applyFont="1" applyFill="1" applyBorder="1" applyAlignment="1">
      <alignment horizontal="left" vertical="center"/>
    </xf>
    <xf numFmtId="0" fontId="28" fillId="0" borderId="22" xfId="1" applyFont="1" applyBorder="1"/>
    <xf numFmtId="0" fontId="28" fillId="0" borderId="23" xfId="1" applyFont="1" applyBorder="1"/>
    <xf numFmtId="0" fontId="7" fillId="2" borderId="21" xfId="0" applyFont="1" applyFill="1" applyBorder="1" applyAlignment="1">
      <alignment horizontal="left" vertical="center"/>
    </xf>
    <xf numFmtId="0" fontId="18" fillId="4" borderId="26" xfId="0" applyFont="1" applyFill="1" applyBorder="1" applyAlignment="1">
      <alignment horizontal="center" vertical="center"/>
    </xf>
    <xf numFmtId="0" fontId="7" fillId="0" borderId="14" xfId="0" applyFont="1" applyBorder="1" applyAlignment="1">
      <alignment horizontal="center" vertical="center"/>
    </xf>
    <xf numFmtId="0" fontId="5" fillId="0" borderId="15" xfId="0" applyFont="1" applyBorder="1" applyAlignment="1">
      <alignment wrapText="1"/>
    </xf>
    <xf numFmtId="0" fontId="5" fillId="0" borderId="16" xfId="0" applyFont="1" applyBorder="1" applyAlignment="1">
      <alignment wrapText="1"/>
    </xf>
    <xf numFmtId="0" fontId="26" fillId="5" borderId="14" xfId="0" applyFont="1" applyFill="1" applyBorder="1" applyAlignment="1">
      <alignment horizontal="center" vertical="center" wrapText="1"/>
    </xf>
    <xf numFmtId="0" fontId="5" fillId="5" borderId="15" xfId="0" applyFont="1" applyFill="1" applyBorder="1" applyAlignment="1">
      <alignment wrapText="1"/>
    </xf>
    <xf numFmtId="0" fontId="5" fillId="5" borderId="16" xfId="0" applyFont="1" applyFill="1" applyBorder="1" applyAlignment="1">
      <alignment wrapText="1"/>
    </xf>
    <xf numFmtId="0" fontId="29" fillId="0" borderId="14"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6" xfId="0" applyFont="1" applyBorder="1" applyAlignment="1">
      <alignment horizontal="center" vertical="center" wrapText="1"/>
    </xf>
    <xf numFmtId="0" fontId="7" fillId="2" borderId="14" xfId="0" applyFont="1" applyFill="1" applyBorder="1" applyAlignment="1">
      <alignment horizontal="center" vertical="center" wrapText="1"/>
    </xf>
    <xf numFmtId="0" fontId="29" fillId="4" borderId="21" xfId="0" applyFont="1" applyFill="1" applyBorder="1" applyAlignment="1">
      <alignment horizontal="center"/>
    </xf>
    <xf numFmtId="0" fontId="16" fillId="4" borderId="21" xfId="0" applyFont="1" applyFill="1" applyBorder="1" applyAlignment="1">
      <alignment horizontal="center" vertical="center"/>
    </xf>
    <xf numFmtId="0" fontId="16" fillId="0" borderId="14" xfId="0" applyFont="1" applyBorder="1" applyAlignment="1">
      <alignment horizontal="center" vertical="center"/>
    </xf>
    <xf numFmtId="0" fontId="7" fillId="0" borderId="38" xfId="0" applyFont="1" applyBorder="1" applyAlignment="1">
      <alignment horizontal="center" vertical="center" wrapText="1"/>
    </xf>
    <xf numFmtId="0" fontId="0" fillId="0" borderId="38" xfId="0" applyBorder="1" applyAlignment="1">
      <alignment horizontal="center" vertical="center"/>
    </xf>
    <xf numFmtId="0" fontId="20" fillId="0" borderId="38" xfId="0" applyFont="1" applyBorder="1" applyAlignment="1">
      <alignment horizontal="center" vertical="center"/>
    </xf>
    <xf numFmtId="0" fontId="7" fillId="2" borderId="24" xfId="0" applyFont="1" applyFill="1" applyBorder="1"/>
    <xf numFmtId="0" fontId="7" fillId="2" borderId="25" xfId="0" applyFont="1" applyFill="1" applyBorder="1"/>
    <xf numFmtId="0" fontId="1" fillId="0" borderId="0" xfId="0" applyFont="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customschemas.google.com/relationships/workbookmetadata" Target="metadata"/><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U991"/>
  <sheetViews>
    <sheetView zoomScale="110" zoomScaleNormal="110" workbookViewId="0">
      <selection activeCell="C9" sqref="C9:E9"/>
    </sheetView>
  </sheetViews>
  <sheetFormatPr baseColWidth="10" defaultColWidth="12.5703125" defaultRowHeight="15" customHeight="1"/>
  <cols>
    <col min="1" max="1" width="10.5703125" customWidth="1"/>
    <col min="2" max="7" width="11" customWidth="1"/>
    <col min="8" max="8" width="12" customWidth="1"/>
    <col min="9" max="21" width="11" customWidth="1"/>
    <col min="22" max="25" width="10.5703125" customWidth="1"/>
  </cols>
  <sheetData>
    <row r="1" spans="2:21" ht="14.25" customHeight="1"/>
    <row r="2" spans="2:21" ht="14.25" customHeight="1">
      <c r="B2" s="81"/>
      <c r="C2" s="82"/>
      <c r="D2" s="82"/>
      <c r="E2" s="82"/>
      <c r="F2" s="82"/>
      <c r="G2" s="82"/>
      <c r="H2" s="82"/>
      <c r="I2" s="82"/>
      <c r="J2" s="82"/>
      <c r="K2" s="82"/>
      <c r="L2" s="82"/>
      <c r="M2" s="82"/>
      <c r="N2" s="82"/>
      <c r="O2" s="82"/>
      <c r="P2" s="82"/>
      <c r="Q2" s="82"/>
      <c r="R2" s="82"/>
      <c r="S2" s="82"/>
      <c r="T2" s="82"/>
      <c r="U2" s="83"/>
    </row>
    <row r="3" spans="2:21" ht="14.25" customHeight="1">
      <c r="B3" s="84"/>
      <c r="C3" s="70"/>
      <c r="D3" s="70"/>
      <c r="E3" s="70"/>
      <c r="F3" s="70"/>
      <c r="G3" s="70"/>
      <c r="H3" s="70"/>
      <c r="I3" s="70"/>
      <c r="J3" s="70"/>
      <c r="K3" s="70"/>
      <c r="L3" s="70"/>
      <c r="M3" s="70"/>
      <c r="N3" s="70"/>
      <c r="O3" s="70"/>
      <c r="P3" s="70"/>
      <c r="Q3" s="70"/>
      <c r="R3" s="70"/>
      <c r="S3" s="70"/>
      <c r="T3" s="70"/>
      <c r="U3" s="85"/>
    </row>
    <row r="4" spans="2:21" ht="14.25" customHeight="1">
      <c r="B4" s="84"/>
      <c r="C4" s="70"/>
      <c r="D4" s="70"/>
      <c r="E4" s="70"/>
      <c r="F4" s="70"/>
      <c r="G4" s="70"/>
      <c r="H4" s="70"/>
      <c r="I4" s="70"/>
      <c r="J4" s="70"/>
      <c r="K4" s="70"/>
      <c r="L4" s="70"/>
      <c r="M4" s="70"/>
      <c r="N4" s="70"/>
      <c r="O4" s="70"/>
      <c r="P4" s="70"/>
      <c r="Q4" s="70"/>
      <c r="R4" s="70"/>
      <c r="S4" s="70"/>
      <c r="T4" s="70"/>
      <c r="U4" s="85"/>
    </row>
    <row r="5" spans="2:21" ht="14.25" customHeight="1">
      <c r="B5" s="84"/>
      <c r="C5" s="70"/>
      <c r="D5" s="70"/>
      <c r="E5" s="70"/>
      <c r="F5" s="70"/>
      <c r="G5" s="70"/>
      <c r="H5" s="70"/>
      <c r="I5" s="70"/>
      <c r="J5" s="138" t="s">
        <v>0</v>
      </c>
      <c r="K5" s="139"/>
      <c r="L5" s="139"/>
      <c r="M5" s="139"/>
      <c r="N5" s="139"/>
      <c r="O5" s="139"/>
      <c r="P5" s="139"/>
      <c r="Q5" s="139"/>
      <c r="R5" s="139"/>
      <c r="S5" s="139"/>
      <c r="T5" s="140"/>
      <c r="U5" s="85"/>
    </row>
    <row r="6" spans="2:21" ht="14.25" customHeight="1">
      <c r="B6" s="84"/>
      <c r="C6" s="70"/>
      <c r="D6" s="70"/>
      <c r="E6" s="70"/>
      <c r="F6" s="80" t="s">
        <v>1</v>
      </c>
      <c r="G6" s="80" t="s">
        <v>2</v>
      </c>
      <c r="H6" s="80" t="s">
        <v>3</v>
      </c>
      <c r="I6" s="70"/>
      <c r="J6" s="141"/>
      <c r="K6" s="134"/>
      <c r="L6" s="134"/>
      <c r="M6" s="134"/>
      <c r="N6" s="134"/>
      <c r="O6" s="134"/>
      <c r="P6" s="134"/>
      <c r="Q6" s="134"/>
      <c r="R6" s="134"/>
      <c r="S6" s="134"/>
      <c r="T6" s="142"/>
      <c r="U6" s="85"/>
    </row>
    <row r="7" spans="2:21" ht="14.25" customHeight="1">
      <c r="B7" s="84"/>
      <c r="C7" s="143" t="s">
        <v>4</v>
      </c>
      <c r="D7" s="144"/>
      <c r="E7" s="145"/>
      <c r="F7" s="7">
        <f>'REQ. USUARIO'!O11</f>
        <v>49</v>
      </c>
      <c r="G7" s="7">
        <f>'REQ. USUARIO'!M8</f>
        <v>38</v>
      </c>
      <c r="H7" s="7">
        <f>'REQ. USUARIO'!Q8</f>
        <v>11</v>
      </c>
      <c r="I7" s="70"/>
      <c r="J7" s="70"/>
      <c r="K7" s="70"/>
      <c r="L7" s="70"/>
      <c r="M7" s="70"/>
      <c r="N7" s="70"/>
      <c r="O7" s="70"/>
      <c r="P7" s="70"/>
      <c r="Q7" s="70"/>
      <c r="R7" s="70"/>
      <c r="S7" s="70"/>
      <c r="T7" s="70"/>
      <c r="U7" s="85"/>
    </row>
    <row r="8" spans="2:21" ht="14.25" customHeight="1">
      <c r="B8" s="84"/>
      <c r="C8" s="86"/>
      <c r="D8" s="86"/>
      <c r="E8" s="86"/>
      <c r="F8" s="9"/>
      <c r="G8" s="87"/>
      <c r="H8" s="70"/>
      <c r="I8" s="70"/>
      <c r="J8" s="146" t="s">
        <v>1</v>
      </c>
      <c r="K8" s="147"/>
      <c r="L8" s="122"/>
      <c r="M8" s="70"/>
      <c r="N8" s="146" t="s">
        <v>5</v>
      </c>
      <c r="O8" s="147"/>
      <c r="P8" s="122"/>
      <c r="Q8" s="70"/>
      <c r="R8" s="146" t="s">
        <v>6</v>
      </c>
      <c r="S8" s="147"/>
      <c r="T8" s="122"/>
      <c r="U8" s="85"/>
    </row>
    <row r="9" spans="2:21" ht="14.25" customHeight="1">
      <c r="B9" s="84"/>
      <c r="C9" s="148" t="s">
        <v>7</v>
      </c>
      <c r="D9" s="147"/>
      <c r="E9" s="122"/>
      <c r="F9" s="7">
        <f>'REQ. FUN. GEN'!N11</f>
        <v>364</v>
      </c>
      <c r="G9" s="7">
        <f>'REQ. FUN. GEN'!L8</f>
        <v>332</v>
      </c>
      <c r="H9" s="7">
        <f>'REQ. FUN. GEN'!P8</f>
        <v>32</v>
      </c>
      <c r="I9" s="70"/>
      <c r="J9" s="146">
        <f>SUM(F7,F9,F11)</f>
        <v>933</v>
      </c>
      <c r="K9" s="149"/>
      <c r="L9" s="150"/>
      <c r="M9" s="70"/>
      <c r="N9" s="146">
        <f>SUM(G7,G9,G11)</f>
        <v>874</v>
      </c>
      <c r="O9" s="149"/>
      <c r="P9" s="150"/>
      <c r="Q9" s="70"/>
      <c r="R9" s="146">
        <f>SUM(H7,H9,H11)</f>
        <v>59</v>
      </c>
      <c r="S9" s="149"/>
      <c r="T9" s="150"/>
      <c r="U9" s="85"/>
    </row>
    <row r="10" spans="2:21" ht="14.25" customHeight="1">
      <c r="B10" s="84"/>
      <c r="C10" s="86"/>
      <c r="D10" s="86"/>
      <c r="E10" s="86"/>
      <c r="F10" s="9"/>
      <c r="G10" s="87"/>
      <c r="H10" s="70"/>
      <c r="I10" s="70"/>
      <c r="J10" s="70"/>
      <c r="K10" s="70"/>
      <c r="L10" s="70"/>
      <c r="M10" s="70"/>
      <c r="N10" s="70"/>
      <c r="O10" s="70"/>
      <c r="P10" s="70"/>
      <c r="Q10" s="70"/>
      <c r="R10" s="70"/>
      <c r="S10" s="70"/>
      <c r="T10" s="70"/>
      <c r="U10" s="85"/>
    </row>
    <row r="11" spans="2:21" ht="14.25" customHeight="1">
      <c r="B11" s="84"/>
      <c r="C11" s="148" t="s">
        <v>8</v>
      </c>
      <c r="D11" s="147"/>
      <c r="E11" s="122"/>
      <c r="F11" s="7">
        <f>'REQ. NO FUN. GEN'!N11</f>
        <v>520</v>
      </c>
      <c r="G11" s="7">
        <f>'REQ. NO FUN. GEN'!L8</f>
        <v>504</v>
      </c>
      <c r="H11" s="7">
        <f>'REQ. NO FUN. GEN'!P8</f>
        <v>16</v>
      </c>
      <c r="I11" s="70"/>
      <c r="J11" s="70"/>
      <c r="K11" s="70"/>
      <c r="L11" s="70"/>
      <c r="M11" s="70"/>
      <c r="N11" s="70"/>
      <c r="O11" s="70"/>
      <c r="P11" s="70"/>
      <c r="Q11" s="70"/>
      <c r="R11" s="70"/>
      <c r="S11" s="70"/>
      <c r="T11" s="70"/>
      <c r="U11" s="85"/>
    </row>
    <row r="12" spans="2:21" ht="14.25" customHeight="1">
      <c r="B12" s="84"/>
      <c r="C12" s="70"/>
      <c r="D12" s="70"/>
      <c r="E12" s="70"/>
      <c r="F12" s="88"/>
      <c r="G12" s="87"/>
      <c r="H12" s="70"/>
      <c r="I12" s="70"/>
      <c r="J12" s="70"/>
      <c r="K12" s="70"/>
      <c r="L12" s="70"/>
      <c r="M12" s="70"/>
      <c r="N12" s="70"/>
      <c r="O12" s="70"/>
      <c r="P12" s="70"/>
      <c r="Q12" s="70"/>
      <c r="R12" s="70"/>
      <c r="S12" s="70"/>
      <c r="T12" s="70"/>
      <c r="U12" s="85"/>
    </row>
    <row r="13" spans="2:21" ht="14.25" customHeight="1">
      <c r="B13" s="84"/>
      <c r="C13" s="70"/>
      <c r="D13" s="70"/>
      <c r="E13" s="70"/>
      <c r="F13" s="70"/>
      <c r="G13" s="70"/>
      <c r="H13" s="70"/>
      <c r="I13" s="70"/>
      <c r="J13" s="70"/>
      <c r="K13" s="70"/>
      <c r="L13" s="70"/>
      <c r="M13" s="70"/>
      <c r="N13" s="70"/>
      <c r="O13" s="70"/>
      <c r="P13" s="70"/>
      <c r="Q13" s="70"/>
      <c r="R13" s="70"/>
      <c r="S13" s="70"/>
      <c r="T13" s="70"/>
      <c r="U13" s="85"/>
    </row>
    <row r="14" spans="2:21" ht="14.25" customHeight="1">
      <c r="B14" s="84"/>
      <c r="C14" s="146" t="s">
        <v>9</v>
      </c>
      <c r="D14" s="122"/>
      <c r="E14" s="11">
        <f>N9/J9</f>
        <v>0.93676312968917474</v>
      </c>
      <c r="F14" s="70"/>
      <c r="G14" s="70"/>
      <c r="H14" s="70"/>
      <c r="I14" s="70"/>
      <c r="J14" s="70"/>
      <c r="K14" s="70"/>
      <c r="L14" s="70"/>
      <c r="M14" s="70"/>
      <c r="N14" s="70"/>
      <c r="O14" s="70"/>
      <c r="P14" s="70"/>
      <c r="Q14" s="70"/>
      <c r="R14" s="70"/>
      <c r="S14" s="70"/>
      <c r="T14" s="70"/>
      <c r="U14" s="85"/>
    </row>
    <row r="15" spans="2:21" ht="14.25" customHeight="1">
      <c r="B15" s="84"/>
      <c r="C15" s="70"/>
      <c r="D15" s="70"/>
      <c r="E15" s="70"/>
      <c r="F15" s="70"/>
      <c r="G15" s="70"/>
      <c r="H15" s="70"/>
      <c r="I15" s="70"/>
      <c r="J15" s="70"/>
      <c r="K15" s="70"/>
      <c r="L15" s="70"/>
      <c r="M15" s="70"/>
      <c r="N15" s="70"/>
      <c r="O15" s="70"/>
      <c r="P15" s="70"/>
      <c r="Q15" s="70"/>
      <c r="R15" s="70"/>
      <c r="S15" s="70"/>
      <c r="T15" s="70"/>
      <c r="U15" s="85"/>
    </row>
    <row r="16" spans="2:21" ht="14.25" customHeight="1">
      <c r="B16" s="84"/>
      <c r="C16" s="151" t="s">
        <v>10</v>
      </c>
      <c r="D16" s="151"/>
      <c r="E16" s="151"/>
      <c r="F16" s="70"/>
      <c r="G16" s="70"/>
      <c r="H16" s="70"/>
      <c r="I16" s="70"/>
      <c r="J16" s="70"/>
      <c r="K16" s="70"/>
      <c r="L16" s="70"/>
      <c r="M16" s="70"/>
      <c r="N16" s="70"/>
      <c r="O16" s="70"/>
      <c r="P16" s="70"/>
      <c r="Q16" s="70"/>
      <c r="R16" s="70"/>
      <c r="S16" s="70"/>
      <c r="T16" s="70"/>
      <c r="U16" s="85"/>
    </row>
    <row r="17" spans="2:21" ht="14.25" customHeight="1">
      <c r="B17" s="84"/>
      <c r="C17" s="70"/>
      <c r="D17" s="70"/>
      <c r="E17" s="70"/>
      <c r="F17" s="70"/>
      <c r="G17" s="70"/>
      <c r="H17" s="70"/>
      <c r="I17" s="70"/>
      <c r="J17" s="70"/>
      <c r="K17" s="70"/>
      <c r="L17" s="70"/>
      <c r="M17" s="70"/>
      <c r="N17" s="70"/>
      <c r="O17" s="70"/>
      <c r="P17" s="70"/>
      <c r="Q17" s="70"/>
      <c r="R17" s="70"/>
      <c r="S17" s="70"/>
      <c r="T17" s="70"/>
      <c r="U17" s="85"/>
    </row>
    <row r="18" spans="2:21" ht="14.25" customHeight="1">
      <c r="B18" s="84"/>
      <c r="C18" s="70"/>
      <c r="D18" s="70"/>
      <c r="E18" s="70"/>
      <c r="F18" s="70"/>
      <c r="G18" s="70"/>
      <c r="H18" s="70"/>
      <c r="I18" s="70"/>
      <c r="J18" s="70"/>
      <c r="K18" s="70"/>
      <c r="L18" s="70"/>
      <c r="M18" s="70"/>
      <c r="N18" s="70"/>
      <c r="O18" s="70"/>
      <c r="P18" s="70"/>
      <c r="Q18" s="70"/>
      <c r="R18" s="70"/>
      <c r="S18" s="70"/>
      <c r="T18" s="70"/>
      <c r="U18" s="85"/>
    </row>
    <row r="19" spans="2:21" ht="14.25" customHeight="1">
      <c r="B19" s="89"/>
      <c r="C19" s="90"/>
      <c r="D19" s="90"/>
      <c r="E19" s="90"/>
      <c r="F19" s="90"/>
      <c r="G19" s="90"/>
      <c r="H19" s="90"/>
      <c r="I19" s="90"/>
      <c r="J19" s="90"/>
      <c r="K19" s="90"/>
      <c r="L19" s="90"/>
      <c r="M19" s="90"/>
      <c r="N19" s="90"/>
      <c r="O19" s="90"/>
      <c r="P19" s="90"/>
      <c r="Q19" s="90"/>
      <c r="R19" s="90"/>
      <c r="S19" s="90"/>
      <c r="T19" s="90"/>
      <c r="U19" s="91"/>
    </row>
    <row r="20" spans="2:21" ht="14.25" customHeight="1"/>
    <row r="21" spans="2:21" ht="14.25" customHeight="1"/>
    <row r="22" spans="2:21" ht="14.25" customHeight="1"/>
    <row r="23" spans="2:21" ht="14.25" customHeight="1"/>
    <row r="24" spans="2:21" ht="14.25" customHeight="1"/>
    <row r="25" spans="2:21" ht="14.25" customHeight="1"/>
    <row r="26" spans="2:21" ht="14.25" customHeight="1"/>
    <row r="27" spans="2:21" ht="14.25" customHeight="1"/>
    <row r="28" spans="2:21" ht="14.25" customHeight="1"/>
    <row r="29" spans="2:21" ht="14.25" customHeight="1"/>
    <row r="30" spans="2:21" ht="14.25" customHeight="1"/>
    <row r="31" spans="2:21" ht="14.25" customHeight="1"/>
    <row r="32" spans="2:21"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sheetData>
  <mergeCells count="12">
    <mergeCell ref="C16:E16"/>
    <mergeCell ref="R8:T8"/>
    <mergeCell ref="R9:T9"/>
    <mergeCell ref="C11:E11"/>
    <mergeCell ref="C14:D14"/>
    <mergeCell ref="J5:T6"/>
    <mergeCell ref="C7:E7"/>
    <mergeCell ref="J8:L8"/>
    <mergeCell ref="N8:P8"/>
    <mergeCell ref="C9:E9"/>
    <mergeCell ref="J9:L9"/>
    <mergeCell ref="N9:P9"/>
  </mergeCells>
  <hyperlinks>
    <hyperlink ref="C9" location="'REQ. FUN. GEN'!A1" display="* Requisitos funcionales" xr:uid="{00000000-0004-0000-0000-000000000000}"/>
    <hyperlink ref="C11" location="'REQ. NO FUN. GEN'!A1" display="* Requisitos no funcionales" xr:uid="{00000000-0004-0000-0000-000001000000}"/>
    <hyperlink ref="C16" location="'INVENTARIO TRANSACCIONAL'!A1" display="Inventario Transacciones" xr:uid="{00000000-0004-0000-0000-000002000000}"/>
    <hyperlink ref="C7:E7" location="'REQ. USUARIO'!A1" display="* Requisitos de usuario" xr:uid="{1E6C5218-C04A-46CE-8775-087373B08DD3}"/>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T1000"/>
  <sheetViews>
    <sheetView workbookViewId="0">
      <selection activeCell="G18" sqref="G18"/>
    </sheetView>
  </sheetViews>
  <sheetFormatPr baseColWidth="10" defaultColWidth="12.5703125" defaultRowHeight="15" customHeight="1"/>
  <cols>
    <col min="1" max="7" width="10.5703125" customWidth="1"/>
    <col min="8" max="8" width="12.7109375" customWidth="1"/>
    <col min="9" max="26" width="10.5703125" customWidth="1"/>
  </cols>
  <sheetData>
    <row r="1" spans="2:20" ht="14.25" customHeight="1"/>
    <row r="2" spans="2:20" ht="14.25" customHeight="1">
      <c r="B2" s="1"/>
      <c r="C2" s="2"/>
      <c r="D2" s="2"/>
      <c r="E2" s="2"/>
      <c r="F2" s="2"/>
      <c r="G2" s="2"/>
      <c r="H2" s="2"/>
      <c r="I2" s="15"/>
      <c r="J2" s="16"/>
      <c r="K2" s="17"/>
      <c r="L2" s="22"/>
      <c r="M2" s="15"/>
      <c r="N2" s="15"/>
      <c r="O2" s="15"/>
      <c r="P2" s="15"/>
      <c r="Q2" s="15"/>
      <c r="R2" s="15"/>
      <c r="S2" s="15"/>
      <c r="T2" s="16"/>
    </row>
    <row r="3" spans="2:20" ht="14.25" customHeight="1">
      <c r="B3" s="4"/>
      <c r="C3" s="8"/>
      <c r="D3" s="8"/>
      <c r="E3" s="8"/>
      <c r="F3" s="5"/>
      <c r="G3" s="113" t="s">
        <v>11</v>
      </c>
      <c r="H3" s="113" t="s">
        <v>12</v>
      </c>
      <c r="I3" s="10"/>
      <c r="J3" s="18"/>
      <c r="K3" s="17"/>
      <c r="L3" s="23"/>
      <c r="M3" s="154" t="s">
        <v>14</v>
      </c>
      <c r="N3" s="139"/>
      <c r="O3" s="139"/>
      <c r="P3" s="139"/>
      <c r="Q3" s="139"/>
      <c r="R3" s="139"/>
      <c r="S3" s="140"/>
      <c r="T3" s="18"/>
    </row>
    <row r="4" spans="2:20" ht="14.25" customHeight="1">
      <c r="B4" s="4"/>
      <c r="C4" s="153" t="s">
        <v>7</v>
      </c>
      <c r="D4" s="130"/>
      <c r="E4" s="131"/>
      <c r="F4" s="10"/>
      <c r="G4" s="113">
        <f>COUNTIF('REQ. FUN'!M:M, "x")</f>
        <v>25</v>
      </c>
      <c r="H4" s="113">
        <f>COUNTIF('REQ. FUN'!N:N, "x")</f>
        <v>6</v>
      </c>
      <c r="I4" s="10"/>
      <c r="J4" s="18"/>
      <c r="K4" s="17"/>
      <c r="L4" s="23"/>
      <c r="M4" s="155"/>
      <c r="N4" s="136"/>
      <c r="O4" s="136"/>
      <c r="P4" s="136"/>
      <c r="Q4" s="136"/>
      <c r="R4" s="136"/>
      <c r="S4" s="156"/>
      <c r="T4" s="18"/>
    </row>
    <row r="5" spans="2:20" ht="14.25" customHeight="1">
      <c r="B5" s="4"/>
      <c r="C5" s="8"/>
      <c r="D5" s="8"/>
      <c r="E5" s="8"/>
      <c r="F5" s="10"/>
      <c r="G5" s="113"/>
      <c r="H5" s="117"/>
      <c r="I5" s="10"/>
      <c r="J5" s="18"/>
      <c r="K5" s="17"/>
      <c r="L5" s="23"/>
      <c r="M5" s="157"/>
      <c r="N5" s="158"/>
      <c r="O5" s="158"/>
      <c r="P5" s="158"/>
      <c r="Q5" s="158"/>
      <c r="R5" s="158"/>
      <c r="S5" s="159"/>
      <c r="T5" s="18"/>
    </row>
    <row r="6" spans="2:20" ht="14.25" customHeight="1">
      <c r="B6" s="4"/>
      <c r="C6" s="153" t="s">
        <v>8</v>
      </c>
      <c r="D6" s="130"/>
      <c r="E6" s="131"/>
      <c r="F6" s="10"/>
      <c r="G6" s="113">
        <f>COUNTIF('REQ. NO FUN'!M:M, "x")</f>
        <v>13</v>
      </c>
      <c r="H6" s="113">
        <f>COUNTIF('REQ. NO FUN'!N:N, "x")</f>
        <v>5</v>
      </c>
      <c r="I6" s="10"/>
      <c r="J6" s="18"/>
      <c r="L6" s="23"/>
      <c r="M6" s="10"/>
      <c r="N6" s="10"/>
      <c r="O6" s="10"/>
      <c r="P6" s="10"/>
      <c r="Q6" s="10"/>
      <c r="R6" s="10"/>
      <c r="S6" s="10"/>
      <c r="T6" s="18"/>
    </row>
    <row r="7" spans="2:20" ht="14.25" customHeight="1">
      <c r="B7" s="4"/>
      <c r="C7" s="8"/>
      <c r="D7" s="8"/>
      <c r="E7" s="8"/>
      <c r="F7" s="5"/>
      <c r="G7" s="5"/>
      <c r="H7" s="5"/>
      <c r="I7" s="10"/>
      <c r="J7" s="18"/>
      <c r="L7" s="23"/>
      <c r="M7" s="160" t="s">
        <v>15</v>
      </c>
      <c r="N7" s="121"/>
      <c r="O7" s="122"/>
      <c r="P7" s="5"/>
      <c r="Q7" s="160" t="s">
        <v>16</v>
      </c>
      <c r="R7" s="121"/>
      <c r="S7" s="122"/>
      <c r="T7" s="18"/>
    </row>
    <row r="8" spans="2:20" ht="14.25" customHeight="1">
      <c r="B8" s="12"/>
      <c r="C8" s="13"/>
      <c r="D8" s="13"/>
      <c r="E8" s="13"/>
      <c r="F8" s="13"/>
      <c r="G8" s="13"/>
      <c r="H8" s="13"/>
      <c r="I8" s="20"/>
      <c r="J8" s="21"/>
      <c r="L8" s="23"/>
      <c r="M8" s="161">
        <f>SUM(G4:G6)</f>
        <v>38</v>
      </c>
      <c r="N8" s="130"/>
      <c r="O8" s="131"/>
      <c r="P8" s="5"/>
      <c r="Q8" s="161">
        <f>SUM(H4:H6)</f>
        <v>11</v>
      </c>
      <c r="R8" s="130"/>
      <c r="S8" s="131"/>
      <c r="T8" s="18"/>
    </row>
    <row r="9" spans="2:20" ht="14.25" customHeight="1">
      <c r="L9" s="23"/>
      <c r="M9" s="10"/>
      <c r="N9" s="10"/>
      <c r="O9" s="10"/>
      <c r="P9" s="10"/>
      <c r="Q9" s="10"/>
      <c r="R9" s="10"/>
      <c r="S9" s="10"/>
      <c r="T9" s="18"/>
    </row>
    <row r="10" spans="2:20" ht="14.25" customHeight="1">
      <c r="L10" s="23"/>
      <c r="M10" s="10"/>
      <c r="N10" s="10"/>
      <c r="O10" s="146" t="s">
        <v>17</v>
      </c>
      <c r="P10" s="121"/>
      <c r="Q10" s="122"/>
      <c r="R10" s="10"/>
      <c r="S10" s="10"/>
      <c r="T10" s="18"/>
    </row>
    <row r="11" spans="2:20" ht="14.25" customHeight="1">
      <c r="C11" s="92" t="s">
        <v>13</v>
      </c>
      <c r="L11" s="23"/>
      <c r="M11" s="10"/>
      <c r="N11" s="10"/>
      <c r="O11" s="152">
        <f>SUM(M8,Q8)</f>
        <v>49</v>
      </c>
      <c r="P11" s="130"/>
      <c r="Q11" s="131"/>
      <c r="R11" s="10"/>
      <c r="S11" s="10"/>
      <c r="T11" s="18"/>
    </row>
    <row r="12" spans="2:20" ht="14.25" customHeight="1">
      <c r="L12" s="24"/>
      <c r="M12" s="20"/>
      <c r="N12" s="20"/>
      <c r="O12" s="20"/>
      <c r="P12" s="20"/>
      <c r="Q12" s="20"/>
      <c r="R12" s="20"/>
      <c r="S12" s="20"/>
      <c r="T12" s="21"/>
    </row>
    <row r="13" spans="2:20" ht="14.25" customHeight="1"/>
    <row r="14" spans="2:20" ht="14.25" customHeight="1"/>
    <row r="15" spans="2:20" ht="14.25" customHeight="1"/>
    <row r="16" spans="2:20"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9">
    <mergeCell ref="O10:Q10"/>
    <mergeCell ref="O11:Q11"/>
    <mergeCell ref="C4:E4"/>
    <mergeCell ref="C6:E6"/>
    <mergeCell ref="M3:S5"/>
    <mergeCell ref="M7:O7"/>
    <mergeCell ref="Q7:S7"/>
    <mergeCell ref="M8:O8"/>
    <mergeCell ref="Q8:S8"/>
  </mergeCells>
  <hyperlinks>
    <hyperlink ref="C4" location="'REQ. FUN'!A1" display="* Requisitos funcionales" xr:uid="{00000000-0004-0000-0100-000000000000}"/>
    <hyperlink ref="C11" location="GENERAL!A1" display="Volver" xr:uid="{00000000-0004-0000-0100-000001000000}"/>
    <hyperlink ref="C6" location="'REQ. NO FUN'!A1" display="* Requisitos no funcionales" xr:uid="{00000000-0004-0000-0100-000002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S995"/>
  <sheetViews>
    <sheetView workbookViewId="0">
      <selection activeCell="C8" sqref="C8:E8"/>
    </sheetView>
  </sheetViews>
  <sheetFormatPr baseColWidth="10" defaultColWidth="12.5703125" defaultRowHeight="15" customHeight="1"/>
  <cols>
    <col min="1" max="2" width="10.5703125" customWidth="1"/>
    <col min="3" max="5" width="14.7109375" customWidth="1"/>
    <col min="6" max="6" width="10.5703125" customWidth="1"/>
    <col min="7" max="7" width="12.7109375" customWidth="1"/>
    <col min="8" max="8" width="10.5703125" customWidth="1"/>
    <col min="9" max="9" width="10.42578125" customWidth="1"/>
    <col min="10" max="10" width="10.5703125" hidden="1" customWidth="1"/>
    <col min="11" max="12" width="10.5703125" customWidth="1"/>
    <col min="13" max="18" width="14.7109375" customWidth="1"/>
    <col min="19" max="26" width="10.5703125" customWidth="1"/>
  </cols>
  <sheetData>
    <row r="1" spans="2:19" ht="14.25" customHeight="1"/>
    <row r="2" spans="2:19" ht="14.25" customHeight="1">
      <c r="B2" s="93"/>
      <c r="C2" s="94"/>
      <c r="D2" s="94"/>
      <c r="E2" s="94"/>
      <c r="F2" s="107" t="s">
        <v>11</v>
      </c>
      <c r="G2" s="107" t="s">
        <v>12</v>
      </c>
      <c r="H2" s="95"/>
      <c r="K2" s="22"/>
      <c r="L2" s="15"/>
      <c r="M2" s="15"/>
      <c r="N2" s="15"/>
      <c r="O2" s="15"/>
      <c r="P2" s="15"/>
      <c r="Q2" s="15"/>
      <c r="R2" s="15"/>
      <c r="S2" s="16"/>
    </row>
    <row r="3" spans="2:19" ht="14.25" customHeight="1">
      <c r="B3" s="96"/>
      <c r="C3" s="168" t="s">
        <v>18</v>
      </c>
      <c r="D3" s="169"/>
      <c r="E3" s="170"/>
      <c r="F3" s="108">
        <f>COUNTIF('PAG. WEB - Landing FUN.'!M:M, "x")</f>
        <v>23</v>
      </c>
      <c r="G3" s="108">
        <f>COUNTIF('PAG. WEB - Landing FUN.'!N:N, "x")</f>
        <v>5</v>
      </c>
      <c r="H3" s="98"/>
      <c r="K3" s="23"/>
      <c r="L3" s="154" t="s">
        <v>29</v>
      </c>
      <c r="M3" s="139"/>
      <c r="N3" s="139"/>
      <c r="O3" s="139"/>
      <c r="P3" s="139"/>
      <c r="Q3" s="139"/>
      <c r="R3" s="140"/>
      <c r="S3" s="18"/>
    </row>
    <row r="4" spans="2:19" ht="14.25" customHeight="1">
      <c r="B4" s="96"/>
      <c r="C4" s="168" t="s">
        <v>19</v>
      </c>
      <c r="D4" s="169"/>
      <c r="E4" s="170"/>
      <c r="F4" s="109">
        <f>COUNTIF('Inicio de sesión FUN.'!M:M, "x")</f>
        <v>35</v>
      </c>
      <c r="G4" s="108">
        <f>COUNTIF('Inicio de sesión FUN.'!N:N, "x")</f>
        <v>2</v>
      </c>
      <c r="H4" s="98"/>
      <c r="K4" s="23"/>
      <c r="L4" s="155"/>
      <c r="M4" s="136"/>
      <c r="N4" s="136"/>
      <c r="O4" s="136"/>
      <c r="P4" s="136"/>
      <c r="Q4" s="136"/>
      <c r="R4" s="156"/>
      <c r="S4" s="18"/>
    </row>
    <row r="5" spans="2:19" ht="14.25" customHeight="1">
      <c r="B5" s="96"/>
      <c r="C5" s="168" t="s">
        <v>20</v>
      </c>
      <c r="D5" s="169"/>
      <c r="E5" s="170"/>
      <c r="F5" s="108">
        <f>COUNTIF('Registro FUN.'!M:M, "x")</f>
        <v>28</v>
      </c>
      <c r="G5" s="108">
        <f>COUNTIF('Registro FUN.'!N:N, "x")</f>
        <v>2</v>
      </c>
      <c r="H5" s="98"/>
      <c r="K5" s="23"/>
      <c r="L5" s="157"/>
      <c r="M5" s="158"/>
      <c r="N5" s="158"/>
      <c r="O5" s="158"/>
      <c r="P5" s="158"/>
      <c r="Q5" s="158"/>
      <c r="R5" s="159"/>
      <c r="S5" s="18"/>
    </row>
    <row r="6" spans="2:19" ht="14.25" customHeight="1">
      <c r="B6" s="96"/>
      <c r="C6" s="168" t="s">
        <v>21</v>
      </c>
      <c r="D6" s="169"/>
      <c r="E6" s="170"/>
      <c r="F6" s="108">
        <f>COUNTIF('Panel Admin FUN.'!M:M, "x")</f>
        <v>46</v>
      </c>
      <c r="G6" s="108">
        <f>COUNTIF('Panel Admin FUN.'!N:N, "x")</f>
        <v>4</v>
      </c>
      <c r="H6" s="98"/>
      <c r="K6" s="23"/>
      <c r="L6" s="10"/>
      <c r="M6" s="10"/>
      <c r="N6" s="10"/>
      <c r="O6" s="10"/>
      <c r="P6" s="10"/>
      <c r="Q6" s="10"/>
      <c r="R6" s="10"/>
      <c r="S6" s="18"/>
    </row>
    <row r="7" spans="2:19" ht="14.25" customHeight="1">
      <c r="B7" s="96"/>
      <c r="C7" s="168" t="s">
        <v>866</v>
      </c>
      <c r="D7" s="169"/>
      <c r="E7" s="170"/>
      <c r="F7" s="108">
        <f>COUNTIF('Cliente Web FUN.'!M:M, "x")</f>
        <v>31</v>
      </c>
      <c r="G7" s="108">
        <f>COUNTIF('Cliente Web FUN.'!N:N, "x")</f>
        <v>1</v>
      </c>
      <c r="H7" s="98"/>
      <c r="K7" s="23"/>
      <c r="L7" s="160" t="s">
        <v>15</v>
      </c>
      <c r="M7" s="121"/>
      <c r="N7" s="122"/>
      <c r="O7" s="5"/>
      <c r="P7" s="160" t="s">
        <v>16</v>
      </c>
      <c r="Q7" s="121"/>
      <c r="R7" s="122"/>
      <c r="S7" s="18"/>
    </row>
    <row r="8" spans="2:19" ht="14.25" customHeight="1">
      <c r="B8" s="96"/>
      <c r="C8" s="168" t="s">
        <v>22</v>
      </c>
      <c r="D8" s="169"/>
      <c r="E8" s="170"/>
      <c r="F8" s="108">
        <f>COUNTIF('Instrumental FUN.'!M:M, "x")</f>
        <v>53</v>
      </c>
      <c r="G8" s="108">
        <f>COUNTIF('Instrumental FUN.'!N:N, "x")</f>
        <v>1</v>
      </c>
      <c r="H8" s="99"/>
      <c r="K8" s="23"/>
      <c r="L8" s="161">
        <f>SUM(F3:F14,F17:F18)</f>
        <v>332</v>
      </c>
      <c r="M8" s="130"/>
      <c r="N8" s="131"/>
      <c r="O8" s="5"/>
      <c r="P8" s="161">
        <f>SUM(G3:G14,G17:G18)</f>
        <v>32</v>
      </c>
      <c r="Q8" s="130"/>
      <c r="R8" s="131"/>
      <c r="S8" s="18"/>
    </row>
    <row r="9" spans="2:19" ht="14.25" customHeight="1">
      <c r="B9" s="96"/>
      <c r="C9" s="168" t="s">
        <v>23</v>
      </c>
      <c r="D9" s="169"/>
      <c r="E9" s="170"/>
      <c r="F9" s="108">
        <f>COUNTIF('Materia prima FUN.'!M:M, "x")</f>
        <v>49</v>
      </c>
      <c r="G9" s="108">
        <f>COUNTIF('Materia prima FUN.'!N:N, "x")</f>
        <v>0</v>
      </c>
      <c r="H9" s="98"/>
      <c r="K9" s="23"/>
      <c r="L9" s="10"/>
      <c r="M9" s="10"/>
      <c r="N9" s="10"/>
      <c r="O9" s="10"/>
      <c r="P9" s="10"/>
      <c r="Q9" s="10"/>
      <c r="R9" s="10"/>
      <c r="S9" s="18"/>
    </row>
    <row r="10" spans="2:19" ht="14.25" customHeight="1">
      <c r="B10" s="100"/>
      <c r="C10" s="168" t="s">
        <v>696</v>
      </c>
      <c r="D10" s="169"/>
      <c r="E10" s="170"/>
      <c r="F10" s="108">
        <f>COUNTIF('Productos FUN'!M:M, "x")</f>
        <v>13</v>
      </c>
      <c r="G10" s="110">
        <f>COUNTIF('Productos FUN'!N:N, "x")</f>
        <v>0</v>
      </c>
      <c r="H10" s="101"/>
      <c r="K10" s="23"/>
      <c r="L10" s="10"/>
      <c r="M10" s="10"/>
      <c r="N10" s="146" t="s">
        <v>17</v>
      </c>
      <c r="O10" s="121"/>
      <c r="P10" s="122"/>
      <c r="Q10" s="10"/>
      <c r="R10" s="10"/>
      <c r="S10" s="18"/>
    </row>
    <row r="11" spans="2:19" ht="14.25" customHeight="1">
      <c r="B11" s="100"/>
      <c r="C11" s="168" t="s">
        <v>697</v>
      </c>
      <c r="D11" s="169"/>
      <c r="E11" s="170"/>
      <c r="F11" s="110">
        <f>COUNTIF('Finanzas FUN'!M:M, "x")</f>
        <v>9</v>
      </c>
      <c r="G11" s="110">
        <f>COUNTIF('Productos FUN'!N:N, "x")</f>
        <v>0</v>
      </c>
      <c r="H11" s="101"/>
      <c r="K11" s="23"/>
      <c r="L11" s="10"/>
      <c r="M11" s="10"/>
      <c r="N11" s="152">
        <f>SUM(L8,P8)</f>
        <v>364</v>
      </c>
      <c r="O11" s="130"/>
      <c r="P11" s="131"/>
      <c r="Q11" s="10"/>
      <c r="R11" s="10"/>
      <c r="S11" s="18"/>
    </row>
    <row r="12" spans="2:19" ht="14.25" customHeight="1">
      <c r="B12" s="96"/>
      <c r="C12" s="168" t="s">
        <v>24</v>
      </c>
      <c r="D12" s="169"/>
      <c r="E12" s="170"/>
      <c r="F12" s="108">
        <f>COUNTIF('Historial FUN'!M:M, "x")</f>
        <v>21</v>
      </c>
      <c r="G12" s="108">
        <f>COUNTIF('Historial FUN'!N:N, "x")</f>
        <v>3</v>
      </c>
      <c r="H12" s="98"/>
      <c r="K12" s="24"/>
      <c r="L12" s="20"/>
      <c r="M12" s="20"/>
      <c r="N12" s="20"/>
      <c r="O12" s="20"/>
      <c r="P12" s="20"/>
      <c r="Q12" s="20"/>
      <c r="R12" s="20"/>
      <c r="S12" s="21"/>
    </row>
    <row r="13" spans="2:19" ht="14.25" customHeight="1">
      <c r="B13" s="96"/>
      <c r="C13" s="168" t="s">
        <v>25</v>
      </c>
      <c r="D13" s="169"/>
      <c r="E13" s="170"/>
      <c r="F13" s="108">
        <f>COUNTIF('Clientes FUN'!M:M, "x")</f>
        <v>7</v>
      </c>
      <c r="G13" s="108">
        <f>COUNTIF('Clientes FUN'!N:N, "x")</f>
        <v>1</v>
      </c>
      <c r="H13" s="98"/>
    </row>
    <row r="14" spans="2:19" ht="14.25" customHeight="1">
      <c r="B14" s="96"/>
      <c r="C14" s="168" t="s">
        <v>26</v>
      </c>
      <c r="D14" s="169"/>
      <c r="E14" s="170"/>
      <c r="F14" s="108">
        <f>COUNTIF('Facturación FUN.'!M:M, "x")</f>
        <v>9</v>
      </c>
      <c r="G14" s="108">
        <f>COUNTIF('Facturación FUN.'!N:N, "x")</f>
        <v>1</v>
      </c>
      <c r="H14" s="98"/>
    </row>
    <row r="15" spans="2:19" ht="14.25" customHeight="1">
      <c r="B15" s="102"/>
      <c r="C15" s="103"/>
      <c r="D15" s="103"/>
      <c r="E15" s="103"/>
      <c r="F15" s="111"/>
      <c r="G15" s="111"/>
      <c r="H15" s="104"/>
    </row>
    <row r="16" spans="2:19" ht="14.25" customHeight="1">
      <c r="B16" s="93"/>
      <c r="C16" s="94"/>
      <c r="D16" s="94"/>
      <c r="E16" s="94"/>
      <c r="F16" s="107"/>
      <c r="G16" s="107"/>
      <c r="H16" s="95"/>
    </row>
    <row r="17" spans="2:8" ht="14.25" customHeight="1">
      <c r="B17" s="96"/>
      <c r="C17" s="168" t="s">
        <v>27</v>
      </c>
      <c r="D17" s="169"/>
      <c r="E17" s="170"/>
      <c r="F17" s="108">
        <f>COUNTIF('Gestión Usuarios FUN.'!M:M, "x")</f>
        <v>6</v>
      </c>
      <c r="G17" s="109">
        <f>COUNTIF('Gestión Usuarios FUN.'!N:N, "x")</f>
        <v>4</v>
      </c>
      <c r="H17" s="98"/>
    </row>
    <row r="18" spans="2:8" ht="14.25" customHeight="1">
      <c r="B18" s="96"/>
      <c r="C18" s="168" t="s">
        <v>28</v>
      </c>
      <c r="D18" s="169"/>
      <c r="E18" s="170"/>
      <c r="F18" s="108">
        <f>COUNTIF('Permisos y Menús FUN.'!M:M, "x")</f>
        <v>2</v>
      </c>
      <c r="G18" s="108">
        <f>COUNTIF('Permisos y Menús FUN.'!N:N, "x")</f>
        <v>8</v>
      </c>
      <c r="H18" s="98"/>
    </row>
    <row r="19" spans="2:8" ht="14.25" customHeight="1">
      <c r="B19" s="96"/>
      <c r="C19" s="162"/>
      <c r="D19" s="163"/>
      <c r="E19" s="164"/>
      <c r="F19" s="97"/>
      <c r="G19" s="97"/>
      <c r="H19" s="98"/>
    </row>
    <row r="20" spans="2:8" ht="14.25" customHeight="1">
      <c r="B20" s="96"/>
      <c r="C20" s="162"/>
      <c r="D20" s="163"/>
      <c r="E20" s="164"/>
      <c r="F20" s="97"/>
      <c r="G20" s="97"/>
      <c r="H20" s="98"/>
    </row>
    <row r="21" spans="2:8" ht="14.25" customHeight="1">
      <c r="B21" s="96"/>
      <c r="C21" s="162"/>
      <c r="D21" s="163"/>
      <c r="E21" s="164"/>
      <c r="F21" s="97"/>
      <c r="G21" s="97"/>
      <c r="H21" s="98"/>
    </row>
    <row r="22" spans="2:8" ht="14.25" customHeight="1">
      <c r="B22" s="96"/>
      <c r="C22" s="105" t="s">
        <v>13</v>
      </c>
      <c r="D22" s="106"/>
      <c r="E22" s="106"/>
      <c r="F22" s="106"/>
      <c r="G22" s="106"/>
      <c r="H22" s="98"/>
    </row>
    <row r="23" spans="2:8" ht="14.25" customHeight="1">
      <c r="B23" s="102"/>
      <c r="C23" s="165"/>
      <c r="D23" s="166"/>
      <c r="E23" s="167"/>
      <c r="F23" s="103"/>
      <c r="G23" s="103"/>
      <c r="H23" s="104"/>
    </row>
    <row r="24" spans="2:8" ht="14.25" customHeight="1"/>
    <row r="25" spans="2:8" ht="14.25" customHeight="1"/>
    <row r="26" spans="2:8" ht="14.25" customHeight="1"/>
    <row r="27" spans="2:8" ht="14.25" customHeight="1"/>
    <row r="28" spans="2:8" ht="14.25" customHeight="1"/>
    <row r="29" spans="2:8" ht="14.25" customHeight="1"/>
    <row r="30" spans="2:8" ht="14.25" customHeight="1"/>
    <row r="31" spans="2:8" ht="14.25" customHeight="1"/>
    <row r="32" spans="2: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sheetData>
  <mergeCells count="25">
    <mergeCell ref="C7:E7"/>
    <mergeCell ref="C10:E10"/>
    <mergeCell ref="C11:E11"/>
    <mergeCell ref="L7:N7"/>
    <mergeCell ref="P7:R7"/>
    <mergeCell ref="C17:E17"/>
    <mergeCell ref="C18:E18"/>
    <mergeCell ref="L3:R5"/>
    <mergeCell ref="N11:P11"/>
    <mergeCell ref="L8:N8"/>
    <mergeCell ref="P8:R8"/>
    <mergeCell ref="N10:P10"/>
    <mergeCell ref="C8:E8"/>
    <mergeCell ref="C9:E9"/>
    <mergeCell ref="C12:E12"/>
    <mergeCell ref="C3:E3"/>
    <mergeCell ref="C4:E4"/>
    <mergeCell ref="C5:E5"/>
    <mergeCell ref="C6:E6"/>
    <mergeCell ref="C23:E23"/>
    <mergeCell ref="C21:E21"/>
    <mergeCell ref="C13:E13"/>
    <mergeCell ref="C14:E14"/>
    <mergeCell ref="C19:E19"/>
    <mergeCell ref="C20:E20"/>
  </mergeCells>
  <hyperlinks>
    <hyperlink ref="C22" location="GENERAL!A1" display="Volver" xr:uid="{00000000-0004-0000-0200-000001000000}"/>
    <hyperlink ref="C7:E7" location="'Cliente Web FUN.'!A1" display="* Requerimientos Cliente Web" xr:uid="{ACE355FC-079C-4826-A874-8680B6F7B692}"/>
    <hyperlink ref="C8:E8" location="'Instrumental FUN.'!A1" display="* Requerimientos Instrumental" xr:uid="{E2B0C1E9-248A-4B4A-9BCF-B6D2BE0AE700}"/>
    <hyperlink ref="C9:E9" location="'Materia prima FUN.'!A1" display="* Requerimientos Materia Prima" xr:uid="{2473FA2C-18CB-4703-8A49-31B69819EF2C}"/>
    <hyperlink ref="C10:E10" location="'Productos FUN'!A1" display="* Requerimientos Productos" xr:uid="{DAE483A5-BB7F-4DBB-965B-AE6079924FC9}"/>
    <hyperlink ref="C11:E11" location="'Finanzas FUN'!A1" display="* Requerimientos Finanzas" xr:uid="{E9B89199-85D2-4B87-ACCD-09A151318A75}"/>
    <hyperlink ref="C12:E12" location="'Historial FUN'!A1" display="* Requerimientos Historial" xr:uid="{E068E578-1D5C-4080-AEB9-ECA1C074B280}"/>
    <hyperlink ref="C3:E3" location="'PAG. WEB - Landing FUN.'!A1" display="* Requerimientos Inicio / Landing" xr:uid="{6334B57E-EECF-4042-85C4-B7A125AB5696}"/>
    <hyperlink ref="C4:E4" location="'Inicio de sesión FUN.'!A1" display="* Requerimientos Inicio de sesión" xr:uid="{AC8810C3-87E4-4CF0-9159-81310FF27D03}"/>
    <hyperlink ref="C5:E5" location="'Registro FUN.'!A1" display="* Requerimientos Registro" xr:uid="{C77D1529-92A1-49B7-8E14-43F05570AE81}"/>
    <hyperlink ref="C6:E6" location="'Panel Admin FUN.'!A1" display="* Requerimientos Panel Administrador" xr:uid="{F5168D27-21A7-4EDF-B984-79AA9AF9999E}"/>
    <hyperlink ref="C13:E13" location="'Clientes FUN'!A1" display="* Requerimientos Clientes" xr:uid="{404B391D-CD80-42EF-B7A7-A770C2283289}"/>
    <hyperlink ref="C14:E14" location="'Facturación FUN.'!A1" display="* Requerimientos Facturación" xr:uid="{5D691E1E-9904-4651-8E45-BB220634015C}"/>
    <hyperlink ref="C17:E17" location="'Gestión Usuarios FUN.'!A1" display="* Gestión de Usuarios y Autenticación" xr:uid="{EB92A736-3CD8-4C0E-A113-3579F7C6A285}"/>
    <hyperlink ref="C18:E18" location="'Permisos y Menús FUN.'!A1" display="* Gestión de Permisos y Menús" xr:uid="{4D5471AC-5D2D-4C19-8F7D-C41780A9282D}"/>
  </hyperlink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S989"/>
  <sheetViews>
    <sheetView workbookViewId="0">
      <selection activeCell="C22" sqref="C22"/>
    </sheetView>
  </sheetViews>
  <sheetFormatPr baseColWidth="10" defaultColWidth="12.5703125" defaultRowHeight="15" customHeight="1"/>
  <cols>
    <col min="1" max="2" width="10.5703125" customWidth="1"/>
    <col min="3" max="5" width="14.7109375" customWidth="1"/>
    <col min="6" max="6" width="10.5703125" customWidth="1"/>
    <col min="7" max="7" width="12.7109375" customWidth="1"/>
    <col min="8" max="8" width="10.5703125" customWidth="1"/>
    <col min="9" max="9" width="10.42578125" customWidth="1"/>
    <col min="10" max="10" width="10.5703125" hidden="1" customWidth="1"/>
    <col min="11" max="11" width="10.5703125" customWidth="1"/>
    <col min="12" max="18" width="14.7109375" customWidth="1"/>
    <col min="19" max="26" width="10.5703125" customWidth="1"/>
  </cols>
  <sheetData>
    <row r="1" spans="2:19" ht="14.25" customHeight="1"/>
    <row r="2" spans="2:19" ht="14.25" customHeight="1">
      <c r="B2" s="1"/>
      <c r="C2" s="2"/>
      <c r="D2" s="2"/>
      <c r="E2" s="2"/>
      <c r="F2" s="112" t="s">
        <v>11</v>
      </c>
      <c r="G2" s="112" t="s">
        <v>12</v>
      </c>
      <c r="H2" s="3"/>
      <c r="K2" s="22"/>
      <c r="L2" s="15"/>
      <c r="M2" s="15"/>
      <c r="N2" s="15"/>
      <c r="O2" s="15"/>
      <c r="P2" s="15"/>
      <c r="Q2" s="15"/>
      <c r="R2" s="15"/>
      <c r="S2" s="16"/>
    </row>
    <row r="3" spans="2:19" ht="14.25" customHeight="1">
      <c r="B3" s="4"/>
      <c r="C3" s="168" t="s">
        <v>18</v>
      </c>
      <c r="D3" s="169"/>
      <c r="E3" s="170"/>
      <c r="F3" s="113">
        <f>COUNTIF('PAG. WEB - Landing NO FUN.'!M:M, "x")</f>
        <v>86</v>
      </c>
      <c r="G3" s="113">
        <f>COUNTIF('PAG. WEB - Landing NO FUN.'!N:N, "x")</f>
        <v>2</v>
      </c>
      <c r="H3" s="6"/>
      <c r="K3" s="23"/>
      <c r="L3" s="154" t="s">
        <v>30</v>
      </c>
      <c r="M3" s="139"/>
      <c r="N3" s="139"/>
      <c r="O3" s="139"/>
      <c r="P3" s="139"/>
      <c r="Q3" s="139"/>
      <c r="R3" s="140"/>
      <c r="S3" s="18"/>
    </row>
    <row r="4" spans="2:19" ht="14.25" customHeight="1">
      <c r="B4" s="4"/>
      <c r="C4" s="168" t="s">
        <v>19</v>
      </c>
      <c r="D4" s="169"/>
      <c r="E4" s="170"/>
      <c r="F4" s="113">
        <f>COUNTIF('Inicio de sesión NO FUN.'!M:M, "x")</f>
        <v>40</v>
      </c>
      <c r="G4" s="113">
        <f>COUNTIF('Inicio de sesión NO FUN.'!N:N, "x")</f>
        <v>0</v>
      </c>
      <c r="H4" s="6"/>
      <c r="K4" s="23"/>
      <c r="L4" s="155"/>
      <c r="M4" s="136"/>
      <c r="N4" s="136"/>
      <c r="O4" s="136"/>
      <c r="P4" s="136"/>
      <c r="Q4" s="136"/>
      <c r="R4" s="156"/>
      <c r="S4" s="18"/>
    </row>
    <row r="5" spans="2:19" ht="14.25" customHeight="1">
      <c r="B5" s="4"/>
      <c r="C5" s="168" t="s">
        <v>20</v>
      </c>
      <c r="D5" s="169"/>
      <c r="E5" s="170"/>
      <c r="F5" s="113">
        <f>COUNTIF('Registro NO FUN.'!M:M, "x")</f>
        <v>21</v>
      </c>
      <c r="G5" s="113">
        <f>COUNTIF('Registro NO FUN.'!N:N, "x")</f>
        <v>2</v>
      </c>
      <c r="H5" s="6"/>
      <c r="K5" s="23"/>
      <c r="L5" s="157"/>
      <c r="M5" s="158"/>
      <c r="N5" s="158"/>
      <c r="O5" s="158"/>
      <c r="P5" s="158"/>
      <c r="Q5" s="158"/>
      <c r="R5" s="159"/>
      <c r="S5" s="18"/>
    </row>
    <row r="6" spans="2:19" ht="14.25" customHeight="1">
      <c r="B6" s="4"/>
      <c r="C6" s="168" t="s">
        <v>21</v>
      </c>
      <c r="D6" s="169"/>
      <c r="E6" s="170"/>
      <c r="F6" s="113">
        <f>COUNTIF('Panel Admin NO FUN.'!M:M, "x")</f>
        <v>48</v>
      </c>
      <c r="G6" s="113">
        <f>COUNTIF('Panel Admin NO FUN.'!N:N, "x")</f>
        <v>0</v>
      </c>
      <c r="H6" s="6"/>
      <c r="K6" s="23"/>
      <c r="L6" s="10"/>
      <c r="M6" s="10"/>
      <c r="N6" s="10"/>
      <c r="O6" s="10"/>
      <c r="P6" s="10"/>
      <c r="Q6" s="10"/>
      <c r="R6" s="10"/>
      <c r="S6" s="18"/>
    </row>
    <row r="7" spans="2:19" ht="14.25" customHeight="1">
      <c r="B7" s="4"/>
      <c r="C7" s="168" t="s">
        <v>866</v>
      </c>
      <c r="D7" s="169"/>
      <c r="E7" s="170"/>
      <c r="F7" s="113">
        <f>COUNTIF('Cliente Web  NO FUN.'!M:M, "x")</f>
        <v>85</v>
      </c>
      <c r="G7" s="113">
        <f>COUNTIF('Cliente Web  NO FUN.'!N:N, "x")</f>
        <v>0</v>
      </c>
      <c r="H7" s="6"/>
      <c r="K7" s="23"/>
      <c r="L7" s="160" t="s">
        <v>15</v>
      </c>
      <c r="M7" s="121"/>
      <c r="N7" s="122"/>
      <c r="O7" s="5"/>
      <c r="P7" s="160" t="s">
        <v>16</v>
      </c>
      <c r="Q7" s="121"/>
      <c r="R7" s="122"/>
      <c r="S7" s="18"/>
    </row>
    <row r="8" spans="2:19" ht="15" customHeight="1">
      <c r="B8" s="4"/>
      <c r="C8" s="168" t="s">
        <v>22</v>
      </c>
      <c r="D8" s="169"/>
      <c r="E8" s="170"/>
      <c r="F8" s="113">
        <f>COUNTIF('Instrumental NO FUN.'!M:M, "x")</f>
        <v>37</v>
      </c>
      <c r="G8" s="114">
        <f>COUNTIF('Instrumental NO FUN.'!N:N, "x")</f>
        <v>1</v>
      </c>
      <c r="H8" s="18"/>
      <c r="K8" s="23"/>
      <c r="L8" s="161">
        <f>SUM(F3:F14,F17:F18)</f>
        <v>504</v>
      </c>
      <c r="M8" s="130"/>
      <c r="N8" s="131"/>
      <c r="O8" s="5"/>
      <c r="P8" s="161">
        <f>SUM(G3:G14,G17:G18)</f>
        <v>16</v>
      </c>
      <c r="Q8" s="130"/>
      <c r="R8" s="131"/>
      <c r="S8" s="18"/>
    </row>
    <row r="9" spans="2:19" ht="14.25" customHeight="1">
      <c r="B9" s="4"/>
      <c r="C9" s="168" t="s">
        <v>23</v>
      </c>
      <c r="D9" s="169"/>
      <c r="E9" s="170"/>
      <c r="F9" s="113">
        <f>COUNTIF('Materia prima NO FUN.'!M:M, "x")</f>
        <v>46</v>
      </c>
      <c r="G9" s="113">
        <f>COUNTIF('Materia prima NO FUN.'!N:N, "x")</f>
        <v>1</v>
      </c>
      <c r="H9" s="6"/>
      <c r="K9" s="23"/>
      <c r="L9" s="10"/>
      <c r="M9" s="10"/>
      <c r="N9" s="10"/>
      <c r="O9" s="10"/>
      <c r="P9" s="10"/>
      <c r="Q9" s="10"/>
      <c r="R9" s="10"/>
      <c r="S9" s="18"/>
    </row>
    <row r="10" spans="2:19" ht="14.25" customHeight="1">
      <c r="B10" s="69"/>
      <c r="C10" s="168" t="s">
        <v>696</v>
      </c>
      <c r="D10" s="169"/>
      <c r="E10" s="170"/>
      <c r="F10" s="115">
        <f>COUNTIF('Productos NO FUN'!M:M, "x")</f>
        <v>27</v>
      </c>
      <c r="G10" s="115">
        <f>COUNTIF('Productos NO FUN'!N:N, "x")</f>
        <v>0</v>
      </c>
      <c r="H10" s="71"/>
      <c r="K10" s="23"/>
      <c r="L10" s="10"/>
      <c r="M10" s="10"/>
      <c r="N10" s="146" t="s">
        <v>17</v>
      </c>
      <c r="O10" s="121"/>
      <c r="P10" s="122"/>
      <c r="Q10" s="10"/>
      <c r="R10" s="10"/>
      <c r="S10" s="18"/>
    </row>
    <row r="11" spans="2:19" ht="14.25" customHeight="1">
      <c r="B11" s="69"/>
      <c r="C11" s="168" t="s">
        <v>697</v>
      </c>
      <c r="D11" s="169"/>
      <c r="E11" s="170"/>
      <c r="F11" s="115">
        <f>COUNTIF('Finanzas NO FUN'!M:M, "x")</f>
        <v>27</v>
      </c>
      <c r="G11" s="115">
        <f>COUNTIF('Finanzas NO FUN'!N:N, "x")</f>
        <v>0</v>
      </c>
      <c r="H11" s="71"/>
      <c r="K11" s="23"/>
      <c r="L11" s="10"/>
      <c r="M11" s="10"/>
      <c r="N11" s="161">
        <f>SUM(L8,P8)</f>
        <v>520</v>
      </c>
      <c r="O11" s="130"/>
      <c r="P11" s="131"/>
      <c r="Q11" s="10"/>
      <c r="R11" s="10"/>
      <c r="S11" s="18"/>
    </row>
    <row r="12" spans="2:19" ht="14.25" customHeight="1">
      <c r="B12" s="4"/>
      <c r="C12" s="168" t="s">
        <v>24</v>
      </c>
      <c r="D12" s="169"/>
      <c r="E12" s="170"/>
      <c r="F12" s="113">
        <f>COUNTIF('Historial NO FUN.'!M:M, "x")</f>
        <v>78</v>
      </c>
      <c r="G12" s="113">
        <f>COUNTIF('Historial NO FUN.'!N:N, "x")</f>
        <v>0</v>
      </c>
      <c r="H12" s="6"/>
      <c r="K12" s="24"/>
      <c r="L12" s="20"/>
      <c r="M12" s="20"/>
      <c r="N12" s="20"/>
      <c r="O12" s="20"/>
      <c r="P12" s="20"/>
      <c r="Q12" s="20"/>
      <c r="R12" s="20"/>
      <c r="S12" s="21"/>
    </row>
    <row r="13" spans="2:19" ht="14.25" customHeight="1">
      <c r="B13" s="4"/>
      <c r="C13" s="168" t="s">
        <v>25</v>
      </c>
      <c r="D13" s="169"/>
      <c r="E13" s="170"/>
      <c r="F13" s="113">
        <f>COUNTIF('Clientes NO FUN.'!M:M, "x")</f>
        <v>3</v>
      </c>
      <c r="G13" s="113">
        <f>COUNTIF('Clientes NO FUN.'!N:N, "x")</f>
        <v>2</v>
      </c>
      <c r="H13" s="6"/>
    </row>
    <row r="14" spans="2:19" ht="14.25" customHeight="1">
      <c r="B14" s="4"/>
      <c r="C14" s="168" t="s">
        <v>26</v>
      </c>
      <c r="D14" s="169"/>
      <c r="E14" s="170"/>
      <c r="F14" s="113">
        <f>COUNTIF('Facturación NO FUN.'!M:M, "x")</f>
        <v>4</v>
      </c>
      <c r="G14" s="113">
        <f>COUNTIF('Facturación NO FUN.'!N:N, "x")</f>
        <v>0</v>
      </c>
      <c r="H14" s="6"/>
    </row>
    <row r="15" spans="2:19" ht="14.25" customHeight="1">
      <c r="B15" s="12"/>
      <c r="C15" s="13"/>
      <c r="D15" s="13"/>
      <c r="E15" s="13"/>
      <c r="F15" s="116"/>
      <c r="G15" s="116"/>
      <c r="H15" s="14"/>
    </row>
    <row r="16" spans="2:19" ht="14.25" customHeight="1">
      <c r="B16" s="23"/>
      <c r="C16" s="10"/>
      <c r="D16" s="10"/>
      <c r="E16" s="10"/>
      <c r="F16" s="117"/>
      <c r="G16" s="117"/>
      <c r="H16" s="18"/>
    </row>
    <row r="17" spans="2:8" ht="14.25" customHeight="1">
      <c r="B17" s="23"/>
      <c r="C17" s="168" t="s">
        <v>27</v>
      </c>
      <c r="D17" s="169"/>
      <c r="E17" s="170"/>
      <c r="F17" s="113">
        <f>COUNTIF('Gestión Usuarios NO FUN.'!M:M, "x")</f>
        <v>2</v>
      </c>
      <c r="G17" s="113">
        <f>COUNTIF('Gestión Usuarios NO FUN.'!N:N, "x")</f>
        <v>3</v>
      </c>
      <c r="H17" s="18"/>
    </row>
    <row r="18" spans="2:8" ht="14.25" customHeight="1">
      <c r="B18" s="23"/>
      <c r="C18" s="168" t="s">
        <v>28</v>
      </c>
      <c r="D18" s="169"/>
      <c r="E18" s="170"/>
      <c r="F18" s="113">
        <f>COUNTIF('Permisos y Menús NO FUN.'!M:M, "x")</f>
        <v>0</v>
      </c>
      <c r="G18" s="113">
        <f>COUNTIF('Permisos y Menús NO FUN.'!N:N, "x")</f>
        <v>5</v>
      </c>
      <c r="H18" s="18"/>
    </row>
    <row r="19" spans="2:8" ht="13.5" customHeight="1">
      <c r="B19" s="23"/>
      <c r="C19" s="171"/>
      <c r="D19" s="130"/>
      <c r="E19" s="131"/>
      <c r="F19" s="5"/>
      <c r="G19" s="5"/>
      <c r="H19" s="18"/>
    </row>
    <row r="20" spans="2:8" ht="13.5" customHeight="1">
      <c r="B20" s="189"/>
      <c r="C20" s="171"/>
      <c r="D20" s="130"/>
      <c r="E20" s="131"/>
      <c r="F20" s="70"/>
      <c r="G20" s="70"/>
      <c r="H20" s="190"/>
    </row>
    <row r="21" spans="2:8" ht="14.25" customHeight="1">
      <c r="B21" s="23"/>
      <c r="C21" s="171"/>
      <c r="D21" s="130"/>
      <c r="E21" s="131"/>
      <c r="F21" s="5"/>
      <c r="G21" s="5"/>
      <c r="H21" s="18"/>
    </row>
    <row r="22" spans="2:8" ht="14.25" customHeight="1">
      <c r="B22" s="23"/>
      <c r="C22" s="19" t="s">
        <v>13</v>
      </c>
      <c r="D22" s="60"/>
      <c r="E22" s="60"/>
      <c r="F22" s="60"/>
      <c r="G22" s="60"/>
      <c r="H22" s="18"/>
    </row>
    <row r="23" spans="2:8" ht="14.25" customHeight="1">
      <c r="B23" s="24"/>
      <c r="C23" s="20"/>
      <c r="D23" s="20"/>
      <c r="E23" s="20"/>
      <c r="F23" s="20"/>
      <c r="G23" s="20"/>
      <c r="H23" s="21"/>
    </row>
    <row r="24" spans="2:8" ht="14.25" customHeight="1"/>
    <row r="25" spans="2:8" ht="14.25" customHeight="1"/>
    <row r="26" spans="2:8" ht="14.25" customHeight="1"/>
    <row r="27" spans="2:8" ht="14.25" customHeight="1"/>
    <row r="28" spans="2:8" ht="14.25" customHeight="1"/>
    <row r="29" spans="2:8" ht="14.25" customHeight="1"/>
    <row r="30" spans="2:8" ht="14.25" customHeight="1"/>
    <row r="31" spans="2:8" ht="14.25" customHeight="1"/>
    <row r="32" spans="2: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sheetData>
  <mergeCells count="24">
    <mergeCell ref="C20:E20"/>
    <mergeCell ref="C11:E11"/>
    <mergeCell ref="C6:E6"/>
    <mergeCell ref="C7:E7"/>
    <mergeCell ref="C8:E8"/>
    <mergeCell ref="C3:E3"/>
    <mergeCell ref="C4:E4"/>
    <mergeCell ref="C5:E5"/>
    <mergeCell ref="L3:R5"/>
    <mergeCell ref="C19:E19"/>
    <mergeCell ref="N10:P10"/>
    <mergeCell ref="N11:P11"/>
    <mergeCell ref="C21:E21"/>
    <mergeCell ref="L7:N7"/>
    <mergeCell ref="P7:R7"/>
    <mergeCell ref="L8:N8"/>
    <mergeCell ref="P8:R8"/>
    <mergeCell ref="C17:E17"/>
    <mergeCell ref="C18:E18"/>
    <mergeCell ref="C9:E9"/>
    <mergeCell ref="C12:E12"/>
    <mergeCell ref="C13:E13"/>
    <mergeCell ref="C14:E14"/>
    <mergeCell ref="C10:E10"/>
  </mergeCells>
  <hyperlinks>
    <hyperlink ref="C22" location="GENERAL!A1" display="Volver" xr:uid="{00000000-0004-0000-0300-000001000000}"/>
    <hyperlink ref="C10:E10" location="'Productos NO FUN'!A1" display="* Requerimientos Productos" xr:uid="{721FC8BC-D34C-4653-BBA9-0C74A2BFF23D}"/>
    <hyperlink ref="C11:E11" location="'Finanzas NO FUN'!A1" display="* Requerimientos Finanzas" xr:uid="{28480573-A9A3-4C1E-9C21-8A358143EEDB}"/>
    <hyperlink ref="C12:E12" location="'Historial NO FUN.'!A1" display="* Requerimientos Historial" xr:uid="{5C80704D-B114-4373-A9E9-D5439DFE34E1}"/>
    <hyperlink ref="C3:E3" location="'PAG. WEB - Landing NO FUN.'!A1" display="* Requerimientos Inicio / Landing" xr:uid="{0FE67E39-EBC2-4A53-A7D4-85747A901BDD}"/>
    <hyperlink ref="C4:E4" location="'Inicio de sesión NO FUN.'!A1" display="* Requerimientos Inicio de sesión" xr:uid="{95514F7E-193F-4E02-A9DA-82E3EC2B1A97}"/>
    <hyperlink ref="C5:E5" location="'Registro NO FUN.'!A1" display="* Requerimientos Registro" xr:uid="{71C7D1F5-36A8-4C97-BF03-98DC79F2867B}"/>
    <hyperlink ref="C6:E6" location="'Panel Admin NO FUN.'!A1" display="* Requerimientos Panel Administrador" xr:uid="{A956C28C-E565-4A74-84FE-F161561805C7}"/>
    <hyperlink ref="C7:E7" location="'Cliente Web  NO FUN.'!A1" display="* Requerimientos Cliente Web" xr:uid="{69A86C6D-6D11-425F-93B1-E5B1B82E920F}"/>
    <hyperlink ref="C8:E8" location="'Instrumental NO FUN.'!A1" display="* Requerimientos Instrumental" xr:uid="{F77475AB-17E5-4DBE-B9DA-F6A841B83865}"/>
    <hyperlink ref="C9:E9" location="'Materia prima NO FUN.'!A1" display="* Requerimientos Materia Prima" xr:uid="{4A5DAE0C-8C75-4264-9D4E-87B3B68D1FBA}"/>
    <hyperlink ref="C13:E13" location="'Clientes NO FUN.'!A1" display="* Requerimientos Clientes" xr:uid="{1111344C-8780-4E54-B500-F813DF13EA2B}"/>
    <hyperlink ref="C14:E14" location="'Facturación NO FUN.'!A1" display="* Requerimientos Facturación" xr:uid="{B7603E38-0727-4A52-99C8-BFFDDFAEEF2C}"/>
    <hyperlink ref="C17:E17" location="'Gestión Usuarios NO FUN.'!A1" display="* Gestión de Usuarios y Autenticación" xr:uid="{D6605531-6632-4CB2-B31F-8CFB47899D4A}"/>
    <hyperlink ref="C18:E18" location="'Permisos y Menús NO FUN.'!A1" display="* Gestión de Permisos y Menús" xr:uid="{6D15FC10-B62F-4BF0-84F6-C9355DD4382C}"/>
  </hyperlink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T991"/>
  <sheetViews>
    <sheetView zoomScaleNormal="100" workbookViewId="0">
      <selection activeCell="B53" sqref="B53"/>
    </sheetView>
  </sheetViews>
  <sheetFormatPr baseColWidth="10" defaultColWidth="12.5703125" defaultRowHeight="15" customHeight="1"/>
  <cols>
    <col min="1" max="1" width="10.5703125" customWidth="1"/>
    <col min="2" max="2" width="5.28515625" customWidth="1"/>
    <col min="3" max="15" width="10.5703125" customWidth="1"/>
    <col min="16" max="16" width="42.28515625" customWidth="1"/>
    <col min="17" max="26" width="10.5703125" customWidth="1"/>
  </cols>
  <sheetData>
    <row r="1" spans="2:20" ht="14.25" customHeight="1">
      <c r="B1" s="25"/>
    </row>
    <row r="2" spans="2:20" ht="14.25" customHeight="1">
      <c r="B2" s="26" t="s">
        <v>31</v>
      </c>
      <c r="C2" s="135" t="s">
        <v>32</v>
      </c>
      <c r="D2" s="136"/>
      <c r="E2" s="136"/>
      <c r="F2" s="136"/>
      <c r="G2" s="136"/>
      <c r="T2" s="27" t="s">
        <v>13</v>
      </c>
    </row>
    <row r="3" spans="2:20" ht="14.25" customHeight="1">
      <c r="B3" s="26" t="s">
        <v>33</v>
      </c>
      <c r="C3" s="135" t="s">
        <v>34</v>
      </c>
      <c r="D3" s="136"/>
      <c r="E3" s="136"/>
      <c r="F3" s="136"/>
      <c r="G3" s="136"/>
    </row>
    <row r="4" spans="2:20" ht="14.25" customHeight="1">
      <c r="B4" s="26" t="s">
        <v>35</v>
      </c>
      <c r="C4" s="135" t="s">
        <v>36</v>
      </c>
      <c r="D4" s="136"/>
      <c r="E4" s="136"/>
      <c r="F4" s="136"/>
      <c r="G4" s="136"/>
    </row>
    <row r="5" spans="2:20" ht="14.25" customHeight="1">
      <c r="B5" s="137" t="s">
        <v>37</v>
      </c>
      <c r="C5" s="136"/>
      <c r="D5" s="28" t="s">
        <v>38</v>
      </c>
      <c r="E5" s="28"/>
      <c r="F5" s="28"/>
      <c r="G5" s="29"/>
    </row>
    <row r="6" spans="2:20" ht="14.25" customHeight="1">
      <c r="B6" s="25"/>
    </row>
    <row r="7" spans="2:20" ht="14.25" customHeight="1">
      <c r="B7" s="30" t="s">
        <v>39</v>
      </c>
    </row>
    <row r="8" spans="2:20" ht="14.25" customHeight="1">
      <c r="B8" s="25"/>
      <c r="M8" s="123" t="s">
        <v>40</v>
      </c>
      <c r="N8" s="124"/>
      <c r="O8" s="125"/>
      <c r="P8" s="127" t="s">
        <v>41</v>
      </c>
    </row>
    <row r="9" spans="2:20" ht="14.25" customHeight="1">
      <c r="B9" s="31"/>
      <c r="C9" s="32"/>
      <c r="D9" s="32"/>
      <c r="E9" s="129" t="s">
        <v>42</v>
      </c>
      <c r="F9" s="130"/>
      <c r="G9" s="130"/>
      <c r="H9" s="131"/>
      <c r="I9" s="32"/>
      <c r="J9" s="32"/>
      <c r="K9" s="32"/>
      <c r="M9" s="33" t="s">
        <v>31</v>
      </c>
      <c r="N9" s="34" t="s">
        <v>33</v>
      </c>
      <c r="O9" s="34" t="s">
        <v>35</v>
      </c>
      <c r="P9" s="128"/>
    </row>
    <row r="10" spans="2:20" ht="14.25" customHeight="1">
      <c r="B10" s="35"/>
    </row>
    <row r="11" spans="2:20" ht="14.25" customHeight="1">
      <c r="B11" s="36"/>
      <c r="C11" s="132" t="s">
        <v>43</v>
      </c>
      <c r="D11" s="133"/>
      <c r="E11" s="134"/>
      <c r="F11" s="32"/>
      <c r="G11" s="32"/>
      <c r="H11" s="32"/>
      <c r="I11" s="32"/>
      <c r="J11" s="32"/>
      <c r="K11" s="32"/>
    </row>
    <row r="12" spans="2:20" ht="30.75" customHeight="1">
      <c r="B12" s="37">
        <v>1</v>
      </c>
      <c r="C12" s="120" t="s">
        <v>44</v>
      </c>
      <c r="D12" s="121"/>
      <c r="E12" s="121"/>
      <c r="F12" s="121"/>
      <c r="G12" s="121"/>
      <c r="H12" s="121"/>
      <c r="I12" s="121"/>
      <c r="J12" s="121"/>
      <c r="K12" s="122"/>
      <c r="L12" s="38"/>
      <c r="M12" s="39" t="s">
        <v>45</v>
      </c>
      <c r="N12" s="39"/>
      <c r="O12" s="39"/>
      <c r="P12" s="39"/>
    </row>
    <row r="13" spans="2:20" ht="30.75" customHeight="1">
      <c r="B13" s="31">
        <v>2</v>
      </c>
      <c r="C13" s="120" t="s">
        <v>46</v>
      </c>
      <c r="D13" s="121"/>
      <c r="E13" s="121"/>
      <c r="F13" s="121"/>
      <c r="G13" s="121"/>
      <c r="H13" s="121"/>
      <c r="I13" s="121"/>
      <c r="J13" s="121"/>
      <c r="K13" s="122"/>
      <c r="L13" s="40"/>
      <c r="M13" s="39" t="s">
        <v>45</v>
      </c>
      <c r="N13" s="39"/>
      <c r="O13" s="39"/>
      <c r="P13" s="39"/>
    </row>
    <row r="14" spans="2:20" ht="30" customHeight="1">
      <c r="B14" s="31">
        <v>3</v>
      </c>
      <c r="C14" s="120" t="s">
        <v>47</v>
      </c>
      <c r="D14" s="121"/>
      <c r="E14" s="121"/>
      <c r="F14" s="121"/>
      <c r="G14" s="121"/>
      <c r="H14" s="121"/>
      <c r="I14" s="121"/>
      <c r="J14" s="121"/>
      <c r="K14" s="122"/>
      <c r="L14" s="40"/>
      <c r="M14" s="39" t="s">
        <v>45</v>
      </c>
      <c r="N14" s="39"/>
      <c r="O14" s="39"/>
      <c r="P14" s="39"/>
    </row>
    <row r="15" spans="2:20" ht="14.25" customHeight="1">
      <c r="B15" s="25"/>
      <c r="M15" s="25"/>
      <c r="N15" s="25"/>
      <c r="O15" s="25"/>
    </row>
    <row r="16" spans="2:20" ht="14.25" customHeight="1">
      <c r="B16" s="41"/>
      <c r="C16" s="132" t="s">
        <v>48</v>
      </c>
      <c r="D16" s="133"/>
      <c r="E16" s="133"/>
      <c r="F16" s="133"/>
      <c r="G16" s="134"/>
      <c r="H16" s="41"/>
      <c r="I16" s="41"/>
      <c r="J16" s="41"/>
      <c r="K16" s="41"/>
      <c r="M16" s="25"/>
      <c r="N16" s="25"/>
      <c r="O16" s="25"/>
    </row>
    <row r="17" spans="2:16" ht="36.75" customHeight="1">
      <c r="B17" s="37">
        <v>5</v>
      </c>
      <c r="C17" s="120" t="s">
        <v>49</v>
      </c>
      <c r="D17" s="121"/>
      <c r="E17" s="121"/>
      <c r="F17" s="121"/>
      <c r="G17" s="121"/>
      <c r="H17" s="121"/>
      <c r="I17" s="121"/>
      <c r="J17" s="121"/>
      <c r="K17" s="122"/>
      <c r="L17" s="38"/>
      <c r="M17" s="39" t="s">
        <v>45</v>
      </c>
      <c r="N17" s="39"/>
      <c r="O17" s="39"/>
      <c r="P17" s="39"/>
    </row>
    <row r="18" spans="2:16" s="68" customFormat="1" ht="32.25" customHeight="1">
      <c r="B18" s="66">
        <v>6</v>
      </c>
      <c r="C18" s="120" t="s">
        <v>50</v>
      </c>
      <c r="D18" s="174"/>
      <c r="E18" s="174"/>
      <c r="F18" s="174"/>
      <c r="G18" s="174"/>
      <c r="H18" s="174"/>
      <c r="I18" s="174"/>
      <c r="J18" s="174"/>
      <c r="K18" s="175"/>
      <c r="L18" s="67"/>
      <c r="M18" s="54" t="s">
        <v>45</v>
      </c>
      <c r="N18" s="54"/>
      <c r="O18" s="54"/>
      <c r="P18" s="54"/>
    </row>
    <row r="19" spans="2:16" ht="14.25" customHeight="1">
      <c r="B19" s="25"/>
      <c r="M19" s="25"/>
      <c r="N19" s="25"/>
      <c r="O19" s="25"/>
    </row>
    <row r="20" spans="2:16" ht="14.25" customHeight="1">
      <c r="B20" s="41"/>
      <c r="C20" s="132" t="s">
        <v>51</v>
      </c>
      <c r="D20" s="133"/>
      <c r="E20" s="134"/>
      <c r="F20" s="41"/>
      <c r="G20" s="41"/>
      <c r="H20" s="41"/>
      <c r="I20" s="41"/>
      <c r="J20" s="41"/>
      <c r="K20" s="41"/>
      <c r="M20" s="25"/>
      <c r="N20" s="25"/>
      <c r="O20" s="25"/>
    </row>
    <row r="21" spans="2:16" ht="34.5" customHeight="1">
      <c r="B21" s="31">
        <v>8</v>
      </c>
      <c r="C21" s="120" t="s">
        <v>52</v>
      </c>
      <c r="D21" s="121"/>
      <c r="E21" s="121"/>
      <c r="F21" s="121"/>
      <c r="G21" s="121"/>
      <c r="H21" s="121"/>
      <c r="I21" s="121"/>
      <c r="J21" s="121"/>
      <c r="K21" s="122"/>
      <c r="L21" s="40"/>
      <c r="M21" s="39" t="s">
        <v>45</v>
      </c>
      <c r="N21" s="39"/>
      <c r="O21" s="39"/>
      <c r="P21" s="39"/>
    </row>
    <row r="22" spans="2:16" ht="32.25" customHeight="1">
      <c r="B22" s="31">
        <v>9</v>
      </c>
      <c r="C22" s="120" t="s">
        <v>53</v>
      </c>
      <c r="D22" s="121"/>
      <c r="E22" s="121"/>
      <c r="F22" s="121"/>
      <c r="G22" s="121"/>
      <c r="H22" s="121"/>
      <c r="I22" s="121"/>
      <c r="J22" s="121"/>
      <c r="K22" s="122"/>
      <c r="L22" s="40"/>
      <c r="M22" s="75" t="s">
        <v>45</v>
      </c>
      <c r="N22" s="39"/>
      <c r="O22" s="39"/>
      <c r="P22" s="39"/>
    </row>
    <row r="23" spans="2:16" ht="30.75" customHeight="1">
      <c r="B23" s="31">
        <v>10</v>
      </c>
      <c r="C23" s="120" t="s">
        <v>54</v>
      </c>
      <c r="D23" s="121"/>
      <c r="E23" s="121"/>
      <c r="F23" s="121"/>
      <c r="G23" s="121"/>
      <c r="H23" s="121"/>
      <c r="I23" s="121"/>
      <c r="J23" s="121"/>
      <c r="K23" s="122"/>
      <c r="L23" s="40"/>
      <c r="M23" s="39" t="s">
        <v>45</v>
      </c>
      <c r="N23" s="39"/>
      <c r="O23" s="39"/>
      <c r="P23" s="39"/>
    </row>
    <row r="24" spans="2:16" ht="14.25" customHeight="1">
      <c r="B24" s="25"/>
      <c r="M24" s="25"/>
      <c r="N24" s="25"/>
      <c r="O24" s="25"/>
    </row>
    <row r="25" spans="2:16" ht="14.25" customHeight="1">
      <c r="B25" s="41"/>
      <c r="C25" s="132" t="s">
        <v>55</v>
      </c>
      <c r="D25" s="133"/>
      <c r="E25" s="134"/>
      <c r="F25" s="41"/>
      <c r="G25" s="41"/>
      <c r="H25" s="41"/>
      <c r="I25" s="41"/>
      <c r="J25" s="41"/>
      <c r="K25" s="41"/>
      <c r="M25" s="25"/>
      <c r="N25" s="25"/>
      <c r="O25" s="25"/>
    </row>
    <row r="26" spans="2:16" ht="29.25" customHeight="1">
      <c r="B26" s="37">
        <v>11</v>
      </c>
      <c r="C26" s="120" t="s">
        <v>56</v>
      </c>
      <c r="D26" s="174"/>
      <c r="E26" s="174"/>
      <c r="F26" s="174"/>
      <c r="G26" s="174"/>
      <c r="H26" s="174"/>
      <c r="I26" s="174"/>
      <c r="J26" s="174"/>
      <c r="K26" s="175"/>
      <c r="L26" s="38"/>
      <c r="M26" s="39" t="s">
        <v>45</v>
      </c>
      <c r="N26" s="39"/>
      <c r="O26" s="39"/>
      <c r="P26" s="39"/>
    </row>
    <row r="27" spans="2:16" ht="28.5" customHeight="1">
      <c r="B27" s="31">
        <v>12</v>
      </c>
      <c r="C27" s="120" t="s">
        <v>57</v>
      </c>
      <c r="D27" s="174"/>
      <c r="E27" s="174"/>
      <c r="F27" s="174"/>
      <c r="G27" s="174"/>
      <c r="H27" s="174"/>
      <c r="I27" s="174"/>
      <c r="J27" s="174"/>
      <c r="K27" s="175"/>
      <c r="L27" s="40"/>
      <c r="M27" s="39" t="s">
        <v>45</v>
      </c>
      <c r="N27" s="39"/>
      <c r="O27" s="39"/>
      <c r="P27" s="39"/>
    </row>
    <row r="28" spans="2:16" ht="30.75" customHeight="1">
      <c r="B28" s="31">
        <v>13</v>
      </c>
      <c r="C28" s="120" t="s">
        <v>58</v>
      </c>
      <c r="D28" s="174"/>
      <c r="E28" s="174"/>
      <c r="F28" s="174"/>
      <c r="G28" s="174"/>
      <c r="H28" s="174"/>
      <c r="I28" s="174"/>
      <c r="J28" s="174"/>
      <c r="K28" s="175"/>
      <c r="L28" s="40"/>
      <c r="M28" s="39" t="s">
        <v>45</v>
      </c>
      <c r="N28" s="39"/>
      <c r="O28" s="39"/>
      <c r="P28" s="39"/>
    </row>
    <row r="29" spans="2:16" ht="27.75" customHeight="1">
      <c r="B29" s="31">
        <v>14</v>
      </c>
      <c r="C29" s="120" t="s">
        <v>59</v>
      </c>
      <c r="D29" s="174"/>
      <c r="E29" s="174"/>
      <c r="F29" s="174"/>
      <c r="G29" s="174"/>
      <c r="H29" s="174"/>
      <c r="I29" s="174"/>
      <c r="J29" s="174"/>
      <c r="K29" s="175"/>
      <c r="L29" s="40"/>
      <c r="M29" s="39"/>
      <c r="N29" s="39" t="s">
        <v>45</v>
      </c>
      <c r="O29" s="39"/>
      <c r="P29" s="39"/>
    </row>
    <row r="30" spans="2:16" ht="14.25" customHeight="1">
      <c r="B30" s="25"/>
      <c r="M30" s="25"/>
      <c r="N30" s="25"/>
      <c r="O30" s="25"/>
    </row>
    <row r="31" spans="2:16" ht="14.25" customHeight="1">
      <c r="B31" s="41"/>
      <c r="C31" s="132" t="s">
        <v>60</v>
      </c>
      <c r="D31" s="133"/>
      <c r="E31" s="134"/>
      <c r="F31" s="41"/>
      <c r="G31" s="41"/>
      <c r="H31" s="41"/>
      <c r="I31" s="41"/>
      <c r="J31" s="41"/>
      <c r="K31" s="41"/>
      <c r="M31" s="25"/>
      <c r="N31" s="25"/>
      <c r="O31" s="25"/>
    </row>
    <row r="32" spans="2:16" ht="30" customHeight="1">
      <c r="B32" s="37">
        <v>15</v>
      </c>
      <c r="C32" s="120" t="s">
        <v>61</v>
      </c>
      <c r="D32" s="121"/>
      <c r="E32" s="121"/>
      <c r="F32" s="121"/>
      <c r="G32" s="121"/>
      <c r="H32" s="121"/>
      <c r="I32" s="121"/>
      <c r="J32" s="121"/>
      <c r="K32" s="122"/>
      <c r="L32" s="38"/>
      <c r="M32" s="39" t="s">
        <v>45</v>
      </c>
      <c r="N32" s="39"/>
      <c r="O32" s="39"/>
      <c r="P32" s="39"/>
    </row>
    <row r="33" spans="2:16" ht="29.25" customHeight="1">
      <c r="B33" s="31">
        <v>17</v>
      </c>
      <c r="C33" s="120" t="s">
        <v>62</v>
      </c>
      <c r="D33" s="121"/>
      <c r="E33" s="121"/>
      <c r="F33" s="121"/>
      <c r="G33" s="121"/>
      <c r="H33" s="121"/>
      <c r="I33" s="121"/>
      <c r="J33" s="121"/>
      <c r="K33" s="122"/>
      <c r="L33" s="40"/>
      <c r="M33" s="39"/>
      <c r="N33" s="39" t="s">
        <v>45</v>
      </c>
      <c r="O33" s="39"/>
      <c r="P33" s="39"/>
    </row>
    <row r="34" spans="2:16" ht="14.25" customHeight="1">
      <c r="B34" s="25"/>
      <c r="M34" s="25"/>
      <c r="N34" s="25"/>
      <c r="O34" s="25"/>
    </row>
    <row r="35" spans="2:16" ht="14.25" customHeight="1">
      <c r="B35" s="41"/>
      <c r="C35" s="132" t="s">
        <v>63</v>
      </c>
      <c r="D35" s="133"/>
      <c r="E35" s="134"/>
      <c r="F35" s="41"/>
      <c r="G35" s="41"/>
      <c r="H35" s="41"/>
      <c r="I35" s="41"/>
      <c r="J35" s="41"/>
      <c r="K35" s="41"/>
      <c r="M35" s="25"/>
      <c r="N35" s="25"/>
      <c r="O35" s="25"/>
    </row>
    <row r="36" spans="2:16" ht="28.5" customHeight="1">
      <c r="B36" s="37">
        <v>18</v>
      </c>
      <c r="C36" s="120" t="s">
        <v>64</v>
      </c>
      <c r="D36" s="121"/>
      <c r="E36" s="121"/>
      <c r="F36" s="121"/>
      <c r="G36" s="121"/>
      <c r="H36" s="121"/>
      <c r="I36" s="121"/>
      <c r="J36" s="121"/>
      <c r="K36" s="122"/>
      <c r="L36" s="38"/>
      <c r="M36" s="39" t="s">
        <v>45</v>
      </c>
      <c r="N36" s="39"/>
      <c r="O36" s="39"/>
      <c r="P36" s="39"/>
    </row>
    <row r="37" spans="2:16" ht="28.5" customHeight="1">
      <c r="B37" s="37">
        <v>19</v>
      </c>
      <c r="C37" s="120" t="s">
        <v>65</v>
      </c>
      <c r="D37" s="121"/>
      <c r="E37" s="121"/>
      <c r="F37" s="121"/>
      <c r="G37" s="121"/>
      <c r="H37" s="121"/>
      <c r="I37" s="121"/>
      <c r="J37" s="121"/>
      <c r="K37" s="122"/>
      <c r="L37" s="42"/>
      <c r="M37" s="39" t="s">
        <v>45</v>
      </c>
      <c r="N37" s="39"/>
      <c r="O37" s="39"/>
      <c r="P37" s="39"/>
    </row>
    <row r="38" spans="2:16" ht="14.25" customHeight="1">
      <c r="B38" s="25"/>
      <c r="M38" s="25"/>
      <c r="N38" s="25"/>
      <c r="O38" s="25"/>
    </row>
    <row r="39" spans="2:16" ht="14.25" customHeight="1">
      <c r="B39" s="41"/>
      <c r="C39" s="132" t="s">
        <v>66</v>
      </c>
      <c r="D39" s="133"/>
      <c r="E39" s="134"/>
      <c r="F39" s="41"/>
      <c r="G39" s="41"/>
      <c r="H39" s="41"/>
      <c r="I39" s="41"/>
      <c r="J39" s="41"/>
      <c r="K39" s="41"/>
      <c r="M39" s="25"/>
      <c r="N39" s="25"/>
      <c r="O39" s="25"/>
    </row>
    <row r="40" spans="2:16" ht="30" customHeight="1">
      <c r="B40" s="37">
        <v>20</v>
      </c>
      <c r="C40" s="120" t="s">
        <v>67</v>
      </c>
      <c r="D40" s="121"/>
      <c r="E40" s="121"/>
      <c r="F40" s="121"/>
      <c r="G40" s="121"/>
      <c r="H40" s="121"/>
      <c r="I40" s="121"/>
      <c r="J40" s="121"/>
      <c r="K40" s="122"/>
      <c r="L40" s="38"/>
      <c r="M40" s="39"/>
      <c r="N40" s="39" t="s">
        <v>45</v>
      </c>
      <c r="O40" s="39"/>
      <c r="P40" s="39"/>
    </row>
    <row r="41" spans="2:16" ht="30" customHeight="1">
      <c r="B41" s="31">
        <v>21</v>
      </c>
      <c r="C41" s="173" t="s">
        <v>68</v>
      </c>
      <c r="D41" s="121"/>
      <c r="E41" s="121"/>
      <c r="F41" s="121"/>
      <c r="G41" s="121"/>
      <c r="H41" s="121"/>
      <c r="I41" s="121"/>
      <c r="J41" s="121"/>
      <c r="K41" s="122"/>
      <c r="L41" s="40"/>
      <c r="M41" s="75" t="s">
        <v>45</v>
      </c>
      <c r="N41" s="39"/>
      <c r="O41" s="39"/>
      <c r="P41" s="39"/>
    </row>
    <row r="42" spans="2:16" ht="14.25" customHeight="1">
      <c r="B42" s="25"/>
      <c r="M42" s="25"/>
      <c r="N42" s="25"/>
      <c r="O42" s="25"/>
    </row>
    <row r="43" spans="2:16" ht="14.25" customHeight="1">
      <c r="B43" s="41"/>
      <c r="C43" s="132" t="s">
        <v>69</v>
      </c>
      <c r="D43" s="133"/>
      <c r="E43" s="134"/>
      <c r="F43" s="41"/>
      <c r="G43" s="41"/>
      <c r="H43" s="41"/>
      <c r="I43" s="41"/>
      <c r="J43" s="41"/>
      <c r="K43" s="41"/>
      <c r="M43" s="25"/>
      <c r="N43" s="25"/>
      <c r="O43" s="25"/>
    </row>
    <row r="44" spans="2:16" ht="30" customHeight="1">
      <c r="B44" s="37">
        <v>22</v>
      </c>
      <c r="C44" s="120" t="s">
        <v>664</v>
      </c>
      <c r="D44" s="121"/>
      <c r="E44" s="121"/>
      <c r="F44" s="121"/>
      <c r="G44" s="121"/>
      <c r="H44" s="121"/>
      <c r="I44" s="121"/>
      <c r="J44" s="121"/>
      <c r="K44" s="122"/>
      <c r="L44" s="38"/>
      <c r="M44" s="39" t="s">
        <v>45</v>
      </c>
      <c r="N44" s="39"/>
      <c r="O44" s="39"/>
      <c r="P44" s="39"/>
    </row>
    <row r="45" spans="2:16" ht="30" customHeight="1">
      <c r="B45" s="31">
        <v>23</v>
      </c>
      <c r="C45" s="173" t="s">
        <v>70</v>
      </c>
      <c r="D45" s="121"/>
      <c r="E45" s="121"/>
      <c r="F45" s="121"/>
      <c r="G45" s="121"/>
      <c r="H45" s="121"/>
      <c r="I45" s="121"/>
      <c r="J45" s="121"/>
      <c r="K45" s="122"/>
      <c r="L45" s="40"/>
      <c r="M45" s="39"/>
      <c r="N45" s="39" t="s">
        <v>45</v>
      </c>
      <c r="O45" s="39"/>
      <c r="P45" s="39"/>
    </row>
    <row r="46" spans="2:16" ht="14.25" customHeight="1">
      <c r="B46" s="25"/>
      <c r="M46" s="25"/>
      <c r="N46" s="25"/>
      <c r="O46" s="25"/>
    </row>
    <row r="47" spans="2:16" ht="14.25" customHeight="1">
      <c r="B47" s="41"/>
      <c r="C47" s="132" t="s">
        <v>71</v>
      </c>
      <c r="D47" s="133"/>
      <c r="E47" s="134"/>
      <c r="F47" s="41"/>
      <c r="G47" s="41"/>
      <c r="H47" s="41"/>
      <c r="I47" s="41"/>
      <c r="J47" s="41"/>
      <c r="K47" s="41"/>
      <c r="M47" s="25"/>
      <c r="N47" s="25"/>
      <c r="O47" s="25"/>
    </row>
    <row r="48" spans="2:16" ht="30" customHeight="1">
      <c r="B48" s="37">
        <v>25</v>
      </c>
      <c r="C48" s="120" t="s">
        <v>72</v>
      </c>
      <c r="D48" s="121"/>
      <c r="E48" s="121"/>
      <c r="F48" s="121"/>
      <c r="G48" s="121"/>
      <c r="H48" s="121"/>
      <c r="I48" s="121"/>
      <c r="J48" s="121"/>
      <c r="K48" s="122"/>
      <c r="L48" s="38"/>
      <c r="M48" s="39" t="s">
        <v>45</v>
      </c>
      <c r="N48" s="39"/>
      <c r="O48" s="39"/>
      <c r="P48" s="39"/>
    </row>
    <row r="49" spans="2:16" ht="14.25" customHeight="1">
      <c r="B49" s="25"/>
      <c r="M49" s="25"/>
      <c r="N49" s="25"/>
      <c r="O49" s="25"/>
    </row>
    <row r="50" spans="2:16" ht="14.25" customHeight="1">
      <c r="B50" s="41"/>
      <c r="C50" s="132" t="s">
        <v>73</v>
      </c>
      <c r="D50" s="133"/>
      <c r="E50" s="134"/>
      <c r="F50" s="41"/>
      <c r="G50" s="41"/>
      <c r="H50" s="41"/>
      <c r="I50" s="41"/>
      <c r="J50" s="41"/>
      <c r="K50" s="41"/>
      <c r="M50" s="25"/>
      <c r="N50" s="25"/>
      <c r="O50" s="25"/>
    </row>
    <row r="51" spans="2:16" ht="30" customHeight="1">
      <c r="B51" s="37">
        <v>27</v>
      </c>
      <c r="C51" s="120" t="s">
        <v>74</v>
      </c>
      <c r="D51" s="121"/>
      <c r="E51" s="121"/>
      <c r="F51" s="121"/>
      <c r="G51" s="121"/>
      <c r="H51" s="121"/>
      <c r="I51" s="121"/>
      <c r="J51" s="121"/>
      <c r="K51" s="122"/>
      <c r="L51" s="38"/>
      <c r="M51" s="39" t="s">
        <v>45</v>
      </c>
      <c r="N51" s="39"/>
      <c r="O51" s="39"/>
      <c r="P51" s="39"/>
    </row>
    <row r="52" spans="2:16" ht="30" customHeight="1">
      <c r="B52" s="31">
        <v>28</v>
      </c>
      <c r="C52" s="173" t="s">
        <v>75</v>
      </c>
      <c r="D52" s="121"/>
      <c r="E52" s="121"/>
      <c r="F52" s="121"/>
      <c r="G52" s="121"/>
      <c r="H52" s="121"/>
      <c r="I52" s="121"/>
      <c r="J52" s="121"/>
      <c r="K52" s="122"/>
      <c r="L52" s="40"/>
      <c r="M52" s="39" t="s">
        <v>45</v>
      </c>
      <c r="N52" s="39"/>
      <c r="O52" s="39"/>
      <c r="P52" s="39"/>
    </row>
    <row r="53" spans="2:16" ht="14.25" customHeight="1">
      <c r="B53" s="25"/>
      <c r="M53" s="25"/>
      <c r="N53" s="25"/>
      <c r="O53" s="25"/>
    </row>
    <row r="54" spans="2:16" ht="14.25" customHeight="1">
      <c r="B54" s="41"/>
      <c r="C54" s="132" t="s">
        <v>76</v>
      </c>
      <c r="D54" s="133"/>
      <c r="E54" s="134"/>
      <c r="F54" s="41"/>
      <c r="G54" s="41"/>
      <c r="H54" s="41"/>
      <c r="I54" s="41"/>
      <c r="J54" s="41"/>
      <c r="K54" s="41"/>
      <c r="M54" s="25"/>
      <c r="N54" s="25"/>
      <c r="O54" s="25"/>
    </row>
    <row r="55" spans="2:16" ht="30" customHeight="1">
      <c r="B55" s="37">
        <v>29</v>
      </c>
      <c r="C55" s="120" t="s">
        <v>77</v>
      </c>
      <c r="D55" s="121"/>
      <c r="E55" s="121"/>
      <c r="F55" s="121"/>
      <c r="G55" s="121"/>
      <c r="H55" s="121"/>
      <c r="I55" s="121"/>
      <c r="J55" s="121"/>
      <c r="K55" s="122"/>
      <c r="L55" s="38"/>
      <c r="M55" s="39" t="s">
        <v>45</v>
      </c>
      <c r="N55" s="39"/>
      <c r="O55" s="39"/>
      <c r="P55" s="39"/>
    </row>
    <row r="56" spans="2:16" ht="30" customHeight="1">
      <c r="B56" s="31">
        <v>30</v>
      </c>
      <c r="C56" s="173" t="s">
        <v>78</v>
      </c>
      <c r="D56" s="121"/>
      <c r="E56" s="121"/>
      <c r="F56" s="121"/>
      <c r="G56" s="121"/>
      <c r="H56" s="121"/>
      <c r="I56" s="121"/>
      <c r="J56" s="121"/>
      <c r="K56" s="122"/>
      <c r="L56" s="40"/>
      <c r="M56" s="39" t="s">
        <v>45</v>
      </c>
      <c r="N56" s="39"/>
      <c r="O56" s="39"/>
      <c r="P56" s="39"/>
    </row>
    <row r="57" spans="2:16" ht="30" customHeight="1">
      <c r="B57" s="31">
        <v>31</v>
      </c>
      <c r="C57" s="173" t="s">
        <v>79</v>
      </c>
      <c r="D57" s="121"/>
      <c r="E57" s="121"/>
      <c r="F57" s="121"/>
      <c r="G57" s="121"/>
      <c r="H57" s="121"/>
      <c r="I57" s="121"/>
      <c r="J57" s="121"/>
      <c r="K57" s="122"/>
      <c r="L57" s="40"/>
      <c r="M57" s="39" t="s">
        <v>45</v>
      </c>
      <c r="N57" s="39"/>
      <c r="O57" s="39"/>
      <c r="P57" s="39"/>
    </row>
    <row r="58" spans="2:16" ht="30" customHeight="1">
      <c r="B58" s="31">
        <v>32</v>
      </c>
      <c r="C58" s="173" t="s">
        <v>80</v>
      </c>
      <c r="D58" s="121"/>
      <c r="E58" s="121"/>
      <c r="F58" s="121"/>
      <c r="G58" s="121"/>
      <c r="H58" s="121"/>
      <c r="I58" s="121"/>
      <c r="J58" s="121"/>
      <c r="K58" s="122"/>
      <c r="L58" s="40"/>
      <c r="M58" s="39"/>
      <c r="N58" s="39" t="s">
        <v>45</v>
      </c>
      <c r="O58" s="39"/>
      <c r="P58" s="39"/>
    </row>
    <row r="59" spans="2:16" ht="14.25" customHeight="1">
      <c r="B59" s="25"/>
      <c r="M59" s="25"/>
      <c r="N59" s="25"/>
      <c r="O59" s="25"/>
    </row>
    <row r="60" spans="2:16" ht="14.25" customHeight="1">
      <c r="B60" s="41"/>
      <c r="C60" s="132" t="s">
        <v>81</v>
      </c>
      <c r="D60" s="133"/>
      <c r="E60" s="134"/>
      <c r="F60" s="41"/>
      <c r="G60" s="41"/>
      <c r="H60" s="41"/>
      <c r="I60" s="41"/>
      <c r="J60" s="41"/>
      <c r="K60" s="41"/>
      <c r="M60" s="25"/>
      <c r="N60" s="25"/>
      <c r="O60" s="25"/>
    </row>
    <row r="61" spans="2:16" ht="30" customHeight="1">
      <c r="B61" s="37">
        <v>33</v>
      </c>
      <c r="C61" s="120" t="s">
        <v>82</v>
      </c>
      <c r="D61" s="121"/>
      <c r="E61" s="121"/>
      <c r="F61" s="121"/>
      <c r="G61" s="121"/>
      <c r="H61" s="121"/>
      <c r="I61" s="121"/>
      <c r="J61" s="121"/>
      <c r="K61" s="122"/>
      <c r="L61" s="38"/>
      <c r="M61" s="39"/>
      <c r="N61" s="39" t="s">
        <v>45</v>
      </c>
      <c r="O61" s="39"/>
      <c r="P61" s="39"/>
    </row>
    <row r="62" spans="2:16" ht="30" customHeight="1">
      <c r="B62" s="31">
        <v>34</v>
      </c>
      <c r="C62" s="173" t="s">
        <v>83</v>
      </c>
      <c r="D62" s="121"/>
      <c r="E62" s="121"/>
      <c r="F62" s="121"/>
      <c r="G62" s="121"/>
      <c r="H62" s="121"/>
      <c r="I62" s="121"/>
      <c r="J62" s="121"/>
      <c r="K62" s="122"/>
      <c r="L62" s="40"/>
      <c r="M62" s="39" t="s">
        <v>45</v>
      </c>
      <c r="N62" s="39"/>
      <c r="O62" s="39"/>
      <c r="P62" s="39"/>
    </row>
    <row r="63" spans="2:16" ht="30" customHeight="1">
      <c r="B63" s="31">
        <v>35</v>
      </c>
      <c r="C63" s="120" t="s">
        <v>84</v>
      </c>
      <c r="D63" s="121"/>
      <c r="E63" s="121"/>
      <c r="F63" s="121"/>
      <c r="G63" s="121"/>
      <c r="H63" s="121"/>
      <c r="I63" s="121"/>
      <c r="J63" s="121"/>
      <c r="K63" s="122"/>
      <c r="L63" s="40"/>
      <c r="M63" s="75" t="s">
        <v>45</v>
      </c>
      <c r="N63" s="39"/>
      <c r="O63" s="39"/>
      <c r="P63" s="39"/>
    </row>
    <row r="64" spans="2:16" ht="30" customHeight="1">
      <c r="B64" s="31">
        <v>36</v>
      </c>
      <c r="C64" s="120" t="s">
        <v>85</v>
      </c>
      <c r="D64" s="121"/>
      <c r="E64" s="121"/>
      <c r="F64" s="121"/>
      <c r="G64" s="121"/>
      <c r="H64" s="121"/>
      <c r="I64" s="121"/>
      <c r="J64" s="121"/>
      <c r="K64" s="122"/>
      <c r="L64" s="40"/>
      <c r="M64" s="75" t="s">
        <v>45</v>
      </c>
      <c r="N64" s="39"/>
      <c r="O64" s="39"/>
      <c r="P64" s="39"/>
    </row>
    <row r="65" spans="2:16" ht="14.25" customHeight="1">
      <c r="B65" s="25"/>
      <c r="M65" s="25"/>
      <c r="N65" s="25"/>
      <c r="O65" s="25"/>
    </row>
    <row r="66" spans="2:16" ht="14.25" customHeight="1">
      <c r="B66" s="41"/>
      <c r="C66" s="172"/>
      <c r="D66" s="133"/>
      <c r="E66" s="134"/>
      <c r="F66" s="41"/>
      <c r="G66" s="41"/>
      <c r="H66" s="41"/>
      <c r="I66" s="41"/>
      <c r="J66" s="41"/>
      <c r="K66" s="41"/>
      <c r="M66" s="25"/>
      <c r="N66" s="25"/>
      <c r="O66" s="25"/>
    </row>
    <row r="67" spans="2:16" ht="14.25" customHeight="1">
      <c r="B67" s="37"/>
      <c r="C67" s="120"/>
      <c r="D67" s="121"/>
      <c r="E67" s="121"/>
      <c r="F67" s="121"/>
      <c r="G67" s="121"/>
      <c r="H67" s="121"/>
      <c r="I67" s="121"/>
      <c r="J67" s="121"/>
      <c r="K67" s="122"/>
      <c r="L67" s="38"/>
      <c r="M67" s="39"/>
      <c r="N67" s="39"/>
      <c r="O67" s="39"/>
      <c r="P67" s="39"/>
    </row>
    <row r="68" spans="2:16" ht="14.25" customHeight="1">
      <c r="B68" s="31"/>
      <c r="C68" s="173"/>
      <c r="D68" s="121"/>
      <c r="E68" s="121"/>
      <c r="F68" s="121"/>
      <c r="G68" s="121"/>
      <c r="H68" s="121"/>
      <c r="I68" s="121"/>
      <c r="J68" s="121"/>
      <c r="K68" s="122"/>
      <c r="L68" s="40"/>
      <c r="M68" s="39"/>
      <c r="N68" s="39"/>
      <c r="O68" s="39"/>
      <c r="P68" s="39"/>
    </row>
    <row r="69" spans="2:16" ht="14.25" customHeight="1">
      <c r="B69" s="25"/>
    </row>
    <row r="70" spans="2:16" ht="14.25" customHeight="1">
      <c r="B70" s="25"/>
    </row>
    <row r="71" spans="2:16" ht="14.25" customHeight="1">
      <c r="B71" s="25"/>
    </row>
    <row r="72" spans="2:16" ht="14.25" customHeight="1">
      <c r="B72" s="25"/>
    </row>
    <row r="73" spans="2:16" ht="14.25" customHeight="1">
      <c r="B73" s="25"/>
    </row>
    <row r="74" spans="2:16" ht="14.25" customHeight="1">
      <c r="B74" s="25"/>
    </row>
    <row r="75" spans="2:16" ht="14.25" customHeight="1">
      <c r="B75" s="25"/>
    </row>
    <row r="76" spans="2:16" ht="14.25" customHeight="1">
      <c r="B76" s="25"/>
    </row>
    <row r="77" spans="2:16" ht="14.25" customHeight="1">
      <c r="B77" s="25"/>
    </row>
    <row r="78" spans="2:16" ht="14.25" customHeight="1">
      <c r="B78" s="25"/>
    </row>
    <row r="79" spans="2:16" ht="14.25" customHeight="1">
      <c r="B79" s="25"/>
    </row>
    <row r="80" spans="2:16"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sheetData>
  <mergeCells count="53">
    <mergeCell ref="C2:G2"/>
    <mergeCell ref="C3:G3"/>
    <mergeCell ref="C4:G4"/>
    <mergeCell ref="B5:C5"/>
    <mergeCell ref="M8:O8"/>
    <mergeCell ref="P8:P9"/>
    <mergeCell ref="E9:H9"/>
    <mergeCell ref="C11:E11"/>
    <mergeCell ref="C12:K12"/>
    <mergeCell ref="C13:K13"/>
    <mergeCell ref="C14:K14"/>
    <mergeCell ref="C16:G16"/>
    <mergeCell ref="C17:K17"/>
    <mergeCell ref="C18:K18"/>
    <mergeCell ref="C20:E20"/>
    <mergeCell ref="C21:K21"/>
    <mergeCell ref="C22:K22"/>
    <mergeCell ref="C23:K23"/>
    <mergeCell ref="C25:E25"/>
    <mergeCell ref="C26:K26"/>
    <mergeCell ref="C27:K27"/>
    <mergeCell ref="C28:K28"/>
    <mergeCell ref="C29:K29"/>
    <mergeCell ref="C32:K32"/>
    <mergeCell ref="C33:K33"/>
    <mergeCell ref="C36:K36"/>
    <mergeCell ref="C37:K37"/>
    <mergeCell ref="C31:E31"/>
    <mergeCell ref="C35:E35"/>
    <mergeCell ref="C39:E39"/>
    <mergeCell ref="C43:E43"/>
    <mergeCell ref="C40:K40"/>
    <mergeCell ref="C41:K41"/>
    <mergeCell ref="C44:K44"/>
    <mergeCell ref="C45:K45"/>
    <mergeCell ref="C47:E47"/>
    <mergeCell ref="C58:K58"/>
    <mergeCell ref="C61:K61"/>
    <mergeCell ref="C62:K62"/>
    <mergeCell ref="C50:E50"/>
    <mergeCell ref="C54:E54"/>
    <mergeCell ref="C60:E60"/>
    <mergeCell ref="C48:K48"/>
    <mergeCell ref="C51:K51"/>
    <mergeCell ref="C52:K52"/>
    <mergeCell ref="C55:K55"/>
    <mergeCell ref="C56:K56"/>
    <mergeCell ref="C57:K57"/>
    <mergeCell ref="C63:K63"/>
    <mergeCell ref="C64:K64"/>
    <mergeCell ref="C66:E66"/>
    <mergeCell ref="C67:K67"/>
    <mergeCell ref="C68:K68"/>
  </mergeCells>
  <hyperlinks>
    <hyperlink ref="T2" location="'REQ. USUARIO'!A1" display="Volver" xr:uid="{00000000-0004-0000-0400-000000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993"/>
  <sheetViews>
    <sheetView workbookViewId="0">
      <selection activeCell="T15" sqref="T15"/>
    </sheetView>
  </sheetViews>
  <sheetFormatPr baseColWidth="10" defaultColWidth="12.5703125" defaultRowHeight="15" customHeight="1"/>
  <cols>
    <col min="1" max="1" width="10.5703125" customWidth="1"/>
    <col min="2" max="2" width="5" customWidth="1"/>
    <col min="3" max="15" width="10.5703125" customWidth="1"/>
    <col min="16" max="16" width="30.42578125" customWidth="1"/>
    <col min="17" max="26" width="10.5703125" customWidth="1"/>
  </cols>
  <sheetData>
    <row r="1" spans="1:21" ht="14.25" customHeight="1">
      <c r="A1" s="43" t="s">
        <v>86</v>
      </c>
      <c r="B1" s="25"/>
    </row>
    <row r="2" spans="1:21" ht="14.25" customHeight="1">
      <c r="B2" s="26" t="s">
        <v>31</v>
      </c>
      <c r="C2" s="135" t="s">
        <v>32</v>
      </c>
      <c r="D2" s="136"/>
      <c r="E2" s="136"/>
      <c r="F2" s="136"/>
      <c r="G2" s="136"/>
      <c r="U2" s="27" t="s">
        <v>13</v>
      </c>
    </row>
    <row r="3" spans="1:21" ht="14.25" customHeight="1">
      <c r="B3" s="26" t="s">
        <v>33</v>
      </c>
      <c r="C3" s="135" t="s">
        <v>34</v>
      </c>
      <c r="D3" s="136"/>
      <c r="E3" s="136"/>
      <c r="F3" s="136"/>
      <c r="G3" s="136"/>
    </row>
    <row r="4" spans="1:21" ht="14.25" customHeight="1">
      <c r="B4" s="26" t="s">
        <v>35</v>
      </c>
      <c r="C4" s="135" t="s">
        <v>36</v>
      </c>
      <c r="D4" s="136"/>
      <c r="E4" s="136"/>
      <c r="F4" s="136"/>
      <c r="G4" s="136"/>
    </row>
    <row r="5" spans="1:21" ht="14.25" customHeight="1">
      <c r="B5" s="137" t="s">
        <v>37</v>
      </c>
      <c r="C5" s="136"/>
      <c r="D5" s="28" t="s">
        <v>38</v>
      </c>
      <c r="E5" s="28"/>
      <c r="F5" s="28"/>
      <c r="G5" s="29"/>
    </row>
    <row r="6" spans="1:21" ht="14.25" customHeight="1">
      <c r="B6" s="25"/>
    </row>
    <row r="7" spans="1:21" ht="14.25" customHeight="1">
      <c r="B7" s="30" t="s">
        <v>39</v>
      </c>
    </row>
    <row r="8" spans="1:21" ht="14.25" customHeight="1">
      <c r="B8" s="25"/>
      <c r="M8" s="123" t="s">
        <v>40</v>
      </c>
      <c r="N8" s="124"/>
      <c r="O8" s="125"/>
      <c r="P8" s="127" t="s">
        <v>41</v>
      </c>
    </row>
    <row r="9" spans="1:21" ht="14.25" customHeight="1">
      <c r="B9" s="31"/>
      <c r="C9" s="32"/>
      <c r="D9" s="129" t="s">
        <v>87</v>
      </c>
      <c r="E9" s="130"/>
      <c r="F9" s="130"/>
      <c r="G9" s="130"/>
      <c r="H9" s="130"/>
      <c r="I9" s="131"/>
      <c r="J9" s="32"/>
      <c r="K9" s="32"/>
      <c r="M9" s="33" t="s">
        <v>31</v>
      </c>
      <c r="N9" s="34" t="s">
        <v>33</v>
      </c>
      <c r="O9" s="34" t="s">
        <v>35</v>
      </c>
      <c r="P9" s="128"/>
    </row>
    <row r="10" spans="1:21" ht="14.25" customHeight="1">
      <c r="B10" s="35"/>
    </row>
    <row r="11" spans="1:21" ht="14.25" customHeight="1">
      <c r="B11" s="36"/>
      <c r="C11" s="132" t="s">
        <v>88</v>
      </c>
      <c r="D11" s="133"/>
      <c r="E11" s="134"/>
      <c r="F11" s="32"/>
      <c r="G11" s="32"/>
      <c r="H11" s="32"/>
      <c r="I11" s="32"/>
      <c r="J11" s="32"/>
      <c r="K11" s="32"/>
    </row>
    <row r="12" spans="1:21" ht="30" customHeight="1">
      <c r="B12" s="37">
        <v>1</v>
      </c>
      <c r="C12" s="120" t="s">
        <v>89</v>
      </c>
      <c r="D12" s="121"/>
      <c r="E12" s="121"/>
      <c r="F12" s="121"/>
      <c r="G12" s="121"/>
      <c r="H12" s="121"/>
      <c r="I12" s="121"/>
      <c r="J12" s="121"/>
      <c r="K12" s="122"/>
      <c r="L12" s="38"/>
      <c r="M12" s="39" t="s">
        <v>45</v>
      </c>
      <c r="N12" s="39"/>
      <c r="O12" s="39"/>
      <c r="P12" s="39"/>
    </row>
    <row r="13" spans="1:21" ht="30" customHeight="1">
      <c r="B13" s="31">
        <v>2</v>
      </c>
      <c r="C13" s="120" t="s">
        <v>90</v>
      </c>
      <c r="D13" s="121"/>
      <c r="E13" s="121"/>
      <c r="F13" s="121"/>
      <c r="G13" s="121"/>
      <c r="H13" s="121"/>
      <c r="I13" s="121"/>
      <c r="J13" s="121"/>
      <c r="K13" s="122"/>
      <c r="L13" s="40"/>
      <c r="M13" s="39" t="s">
        <v>45</v>
      </c>
      <c r="N13" s="39"/>
      <c r="O13" s="39"/>
      <c r="P13" s="44"/>
    </row>
    <row r="14" spans="1:21" ht="30" customHeight="1">
      <c r="B14" s="37">
        <v>3</v>
      </c>
      <c r="C14" s="173" t="s">
        <v>91</v>
      </c>
      <c r="D14" s="121"/>
      <c r="E14" s="121"/>
      <c r="F14" s="121"/>
      <c r="G14" s="121"/>
      <c r="H14" s="121"/>
      <c r="I14" s="121"/>
      <c r="J14" s="121"/>
      <c r="K14" s="122"/>
      <c r="M14" s="75" t="s">
        <v>45</v>
      </c>
      <c r="N14" s="39"/>
      <c r="O14" s="39"/>
      <c r="P14" s="39"/>
    </row>
    <row r="15" spans="1:21" ht="30" customHeight="1">
      <c r="B15" s="37">
        <v>5</v>
      </c>
      <c r="C15" s="120" t="s">
        <v>92</v>
      </c>
      <c r="D15" s="121"/>
      <c r="E15" s="121"/>
      <c r="F15" s="121"/>
      <c r="G15" s="121"/>
      <c r="H15" s="121"/>
      <c r="I15" s="121"/>
      <c r="J15" s="121"/>
      <c r="K15" s="122"/>
      <c r="M15" s="39"/>
      <c r="N15" s="39" t="s">
        <v>45</v>
      </c>
      <c r="O15" s="39"/>
      <c r="P15" s="39"/>
    </row>
    <row r="16" spans="1:21" ht="30" customHeight="1">
      <c r="B16" s="37">
        <v>6</v>
      </c>
      <c r="C16" s="120" t="s">
        <v>93</v>
      </c>
      <c r="D16" s="121"/>
      <c r="E16" s="121"/>
      <c r="F16" s="121"/>
      <c r="G16" s="121"/>
      <c r="H16" s="121"/>
      <c r="I16" s="121"/>
      <c r="J16" s="121"/>
      <c r="K16" s="122"/>
      <c r="M16" s="39"/>
      <c r="N16" s="39" t="s">
        <v>45</v>
      </c>
      <c r="O16" s="39"/>
      <c r="P16" s="39"/>
    </row>
    <row r="17" spans="2:16" ht="14.25" customHeight="1">
      <c r="B17" s="25"/>
    </row>
    <row r="18" spans="2:16" ht="14.25" customHeight="1">
      <c r="B18" s="36"/>
      <c r="C18" s="132" t="s">
        <v>94</v>
      </c>
      <c r="D18" s="133"/>
      <c r="E18" s="134"/>
      <c r="F18" s="32"/>
      <c r="G18" s="32"/>
      <c r="H18" s="32"/>
      <c r="I18" s="32"/>
      <c r="J18" s="32"/>
      <c r="K18" s="32"/>
    </row>
    <row r="19" spans="2:16" ht="30" customHeight="1">
      <c r="B19" s="37">
        <v>7</v>
      </c>
      <c r="C19" s="120" t="s">
        <v>95</v>
      </c>
      <c r="D19" s="121"/>
      <c r="E19" s="121"/>
      <c r="F19" s="121"/>
      <c r="G19" s="121"/>
      <c r="H19" s="121"/>
      <c r="I19" s="121"/>
      <c r="J19" s="121"/>
      <c r="K19" s="122"/>
      <c r="M19" s="39" t="s">
        <v>45</v>
      </c>
      <c r="N19" s="39"/>
      <c r="O19" s="39"/>
      <c r="P19" s="39"/>
    </row>
    <row r="20" spans="2:16" ht="30" customHeight="1">
      <c r="B20" s="37">
        <v>8</v>
      </c>
      <c r="C20" s="120" t="s">
        <v>96</v>
      </c>
      <c r="D20" s="121"/>
      <c r="E20" s="121"/>
      <c r="F20" s="121"/>
      <c r="G20" s="121"/>
      <c r="H20" s="121"/>
      <c r="I20" s="121"/>
      <c r="J20" s="121"/>
      <c r="K20" s="122"/>
      <c r="M20" s="75" t="s">
        <v>45</v>
      </c>
      <c r="N20" s="39"/>
      <c r="O20" s="39"/>
      <c r="P20" s="39"/>
    </row>
    <row r="21" spans="2:16" ht="14.25" customHeight="1">
      <c r="B21" s="25"/>
    </row>
    <row r="22" spans="2:16" ht="14.25" customHeight="1">
      <c r="B22" s="25"/>
    </row>
    <row r="23" spans="2:16" ht="14.25" customHeight="1">
      <c r="B23" s="36"/>
      <c r="C23" s="132" t="s">
        <v>97</v>
      </c>
      <c r="D23" s="133"/>
      <c r="E23" s="134"/>
      <c r="F23" s="32"/>
      <c r="G23" s="32"/>
      <c r="H23" s="32"/>
      <c r="I23" s="32"/>
      <c r="J23" s="32"/>
      <c r="K23" s="32"/>
    </row>
    <row r="24" spans="2:16" ht="30" customHeight="1">
      <c r="B24" s="37">
        <v>12</v>
      </c>
      <c r="C24" s="120" t="s">
        <v>98</v>
      </c>
      <c r="D24" s="121"/>
      <c r="E24" s="121"/>
      <c r="F24" s="121"/>
      <c r="G24" s="121"/>
      <c r="H24" s="121"/>
      <c r="I24" s="121"/>
      <c r="J24" s="121"/>
      <c r="K24" s="122"/>
      <c r="M24" s="39" t="s">
        <v>45</v>
      </c>
      <c r="N24" s="39"/>
      <c r="O24" s="39"/>
      <c r="P24" s="39"/>
    </row>
    <row r="25" spans="2:16" ht="30" customHeight="1">
      <c r="B25" s="37">
        <v>13</v>
      </c>
      <c r="C25" s="120" t="s">
        <v>99</v>
      </c>
      <c r="D25" s="121"/>
      <c r="E25" s="121"/>
      <c r="F25" s="121"/>
      <c r="G25" s="121"/>
      <c r="H25" s="121"/>
      <c r="I25" s="121"/>
      <c r="J25" s="121"/>
      <c r="K25" s="122"/>
      <c r="M25" s="39" t="s">
        <v>45</v>
      </c>
      <c r="N25" s="39"/>
      <c r="O25" s="39"/>
      <c r="P25" s="39"/>
    </row>
    <row r="26" spans="2:16" ht="14.25" customHeight="1">
      <c r="B26" s="25"/>
    </row>
    <row r="27" spans="2:16" ht="14.25" customHeight="1">
      <c r="B27" s="36"/>
      <c r="C27" s="132" t="s">
        <v>100</v>
      </c>
      <c r="D27" s="133"/>
      <c r="E27" s="134"/>
      <c r="F27" s="32"/>
      <c r="G27" s="32"/>
      <c r="H27" s="32"/>
      <c r="I27" s="32"/>
      <c r="J27" s="32"/>
      <c r="K27" s="32"/>
    </row>
    <row r="28" spans="2:16" ht="30" customHeight="1">
      <c r="B28" s="37">
        <v>15</v>
      </c>
      <c r="C28" s="120" t="s">
        <v>101</v>
      </c>
      <c r="D28" s="121"/>
      <c r="E28" s="121"/>
      <c r="F28" s="121"/>
      <c r="G28" s="121"/>
      <c r="H28" s="121"/>
      <c r="I28" s="121"/>
      <c r="J28" s="121"/>
      <c r="K28" s="122"/>
      <c r="M28" s="39" t="s">
        <v>45</v>
      </c>
      <c r="N28" s="39"/>
      <c r="O28" s="39"/>
      <c r="P28" s="39"/>
    </row>
    <row r="29" spans="2:16" ht="30" customHeight="1">
      <c r="B29" s="37">
        <v>16</v>
      </c>
      <c r="C29" s="120" t="s">
        <v>102</v>
      </c>
      <c r="D29" s="121"/>
      <c r="E29" s="121"/>
      <c r="F29" s="121"/>
      <c r="G29" s="121"/>
      <c r="H29" s="121"/>
      <c r="I29" s="121"/>
      <c r="J29" s="121"/>
      <c r="K29" s="122"/>
      <c r="M29" s="39" t="s">
        <v>45</v>
      </c>
      <c r="N29" s="39"/>
      <c r="O29" s="39"/>
      <c r="P29" s="39"/>
    </row>
    <row r="30" spans="2:16" ht="30" customHeight="1">
      <c r="B30" s="37">
        <v>17</v>
      </c>
      <c r="C30" s="120" t="s">
        <v>103</v>
      </c>
      <c r="D30" s="121"/>
      <c r="E30" s="121"/>
      <c r="F30" s="121"/>
      <c r="G30" s="121"/>
      <c r="H30" s="121"/>
      <c r="I30" s="121"/>
      <c r="J30" s="121"/>
      <c r="K30" s="122"/>
      <c r="M30" s="39"/>
      <c r="N30" s="39" t="s">
        <v>45</v>
      </c>
      <c r="O30" s="39"/>
      <c r="P30" s="39"/>
    </row>
    <row r="31" spans="2:16" ht="30" customHeight="1">
      <c r="B31" s="37">
        <v>18</v>
      </c>
      <c r="C31" s="120" t="s">
        <v>665</v>
      </c>
      <c r="D31" s="121"/>
      <c r="E31" s="121"/>
      <c r="F31" s="121"/>
      <c r="G31" s="121"/>
      <c r="H31" s="121"/>
      <c r="I31" s="121"/>
      <c r="J31" s="121"/>
      <c r="K31" s="122"/>
      <c r="M31" s="39" t="s">
        <v>45</v>
      </c>
      <c r="N31" s="39"/>
      <c r="O31" s="39"/>
      <c r="P31" s="39"/>
    </row>
    <row r="32" spans="2:16" ht="14.25" customHeight="1">
      <c r="B32" s="25"/>
    </row>
    <row r="33" spans="2:16" ht="14.25" customHeight="1">
      <c r="B33" s="36"/>
      <c r="C33" s="132" t="s">
        <v>104</v>
      </c>
      <c r="D33" s="133"/>
      <c r="E33" s="134"/>
      <c r="F33" s="32"/>
      <c r="G33" s="32"/>
      <c r="H33" s="32"/>
      <c r="I33" s="32"/>
      <c r="J33" s="32"/>
      <c r="K33" s="32"/>
    </row>
    <row r="34" spans="2:16" ht="30" customHeight="1">
      <c r="B34" s="37">
        <v>19</v>
      </c>
      <c r="C34" s="120" t="s">
        <v>105</v>
      </c>
      <c r="D34" s="121"/>
      <c r="E34" s="121"/>
      <c r="F34" s="121"/>
      <c r="G34" s="121"/>
      <c r="H34" s="121"/>
      <c r="I34" s="121"/>
      <c r="J34" s="121"/>
      <c r="K34" s="122"/>
      <c r="M34" s="39"/>
      <c r="N34" s="39" t="s">
        <v>45</v>
      </c>
      <c r="O34" s="39"/>
      <c r="P34" s="39"/>
    </row>
    <row r="35" spans="2:16" ht="30" customHeight="1">
      <c r="B35" s="37">
        <v>20</v>
      </c>
      <c r="C35" s="120" t="s">
        <v>106</v>
      </c>
      <c r="D35" s="121"/>
      <c r="E35" s="121"/>
      <c r="F35" s="121"/>
      <c r="G35" s="121"/>
      <c r="H35" s="121"/>
      <c r="I35" s="121"/>
      <c r="J35" s="121"/>
      <c r="K35" s="122"/>
      <c r="M35" s="39" t="s">
        <v>45</v>
      </c>
      <c r="N35" s="39"/>
      <c r="O35" s="39"/>
      <c r="P35" s="39"/>
    </row>
    <row r="36" spans="2:16" ht="14.25" customHeight="1">
      <c r="B36" s="25"/>
    </row>
    <row r="37" spans="2:16" ht="14.25" customHeight="1">
      <c r="B37" s="41"/>
      <c r="C37" s="132" t="s">
        <v>81</v>
      </c>
      <c r="D37" s="133"/>
      <c r="E37" s="134"/>
      <c r="F37" s="41"/>
      <c r="G37" s="41"/>
      <c r="H37" s="41"/>
      <c r="I37" s="41"/>
      <c r="J37" s="41"/>
      <c r="K37" s="41"/>
    </row>
    <row r="38" spans="2:16" ht="30" customHeight="1">
      <c r="B38" s="31">
        <v>22</v>
      </c>
      <c r="C38" s="120" t="s">
        <v>107</v>
      </c>
      <c r="D38" s="121"/>
      <c r="E38" s="121"/>
      <c r="F38" s="121"/>
      <c r="G38" s="121"/>
      <c r="H38" s="121"/>
      <c r="I38" s="121"/>
      <c r="J38" s="121"/>
      <c r="K38" s="122"/>
      <c r="M38" s="39" t="s">
        <v>45</v>
      </c>
      <c r="N38" s="39"/>
      <c r="O38" s="39"/>
      <c r="P38" s="39"/>
    </row>
    <row r="39" spans="2:16" ht="30" customHeight="1">
      <c r="B39" s="31">
        <v>23</v>
      </c>
      <c r="C39" s="120" t="s">
        <v>108</v>
      </c>
      <c r="D39" s="121"/>
      <c r="E39" s="121"/>
      <c r="F39" s="121"/>
      <c r="G39" s="121"/>
      <c r="H39" s="121"/>
      <c r="I39" s="121"/>
      <c r="J39" s="121"/>
      <c r="K39" s="122"/>
      <c r="M39" s="39" t="s">
        <v>45</v>
      </c>
      <c r="N39" s="39"/>
      <c r="O39" s="39"/>
      <c r="P39" s="39"/>
    </row>
    <row r="40" spans="2:16" ht="30" customHeight="1">
      <c r="B40" s="31">
        <v>24</v>
      </c>
      <c r="C40" s="120" t="s">
        <v>109</v>
      </c>
      <c r="D40" s="121"/>
      <c r="E40" s="121"/>
      <c r="F40" s="121"/>
      <c r="G40" s="121"/>
      <c r="H40" s="121"/>
      <c r="I40" s="121"/>
      <c r="J40" s="121"/>
      <c r="K40" s="122"/>
      <c r="M40" s="39"/>
      <c r="N40" s="39" t="s">
        <v>45</v>
      </c>
      <c r="O40" s="39"/>
      <c r="P40" s="39"/>
    </row>
    <row r="41" spans="2:16" ht="14.25" customHeight="1">
      <c r="B41" s="25"/>
    </row>
    <row r="42" spans="2:16" ht="14.25" customHeight="1">
      <c r="B42" s="25"/>
    </row>
    <row r="43" spans="2:16" ht="14.25" customHeight="1">
      <c r="B43" s="25"/>
    </row>
    <row r="44" spans="2:16" ht="14.25" customHeight="1">
      <c r="B44" s="25"/>
    </row>
    <row r="45" spans="2:16" ht="14.25" customHeight="1">
      <c r="B45" s="25"/>
    </row>
    <row r="46" spans="2:16" ht="14.25" customHeight="1">
      <c r="B46" s="25"/>
    </row>
    <row r="47" spans="2:16" ht="14.25" customHeight="1">
      <c r="B47" s="25"/>
    </row>
    <row r="48" spans="2:16" ht="14.25" customHeight="1">
      <c r="B48" s="25"/>
    </row>
    <row r="49" spans="2:2" ht="14.25" customHeight="1">
      <c r="B49" s="25"/>
    </row>
    <row r="50" spans="2:2" ht="14.25" customHeight="1">
      <c r="B50" s="25"/>
    </row>
    <row r="51" spans="2:2" ht="14.25" customHeight="1">
      <c r="B51" s="25"/>
    </row>
    <row r="52" spans="2:2" ht="14.25" customHeight="1">
      <c r="B52" s="25"/>
    </row>
    <row r="53" spans="2:2" ht="14.25" customHeight="1">
      <c r="B53" s="25"/>
    </row>
    <row r="54" spans="2:2" ht="14.25" customHeight="1">
      <c r="B54" s="25"/>
    </row>
    <row r="55" spans="2:2" ht="14.25" customHeight="1">
      <c r="B55" s="25"/>
    </row>
    <row r="56" spans="2:2" ht="14.25" customHeight="1">
      <c r="B56" s="25"/>
    </row>
    <row r="57" spans="2:2" ht="14.25" customHeight="1">
      <c r="B57" s="25"/>
    </row>
    <row r="58" spans="2:2" ht="14.25" customHeight="1">
      <c r="B58" s="25"/>
    </row>
    <row r="59" spans="2:2" ht="14.25" customHeight="1">
      <c r="B59" s="25"/>
    </row>
    <row r="60" spans="2:2" ht="14.25" customHeight="1">
      <c r="B60" s="25"/>
    </row>
    <row r="61" spans="2:2" ht="14.25" customHeight="1">
      <c r="B61" s="25"/>
    </row>
    <row r="62" spans="2:2" ht="14.25" customHeight="1">
      <c r="B62" s="25"/>
    </row>
    <row r="63" spans="2:2" ht="14.25" customHeight="1">
      <c r="B63" s="25"/>
    </row>
    <row r="64" spans="2:2" ht="14.25" customHeight="1">
      <c r="B64" s="25"/>
    </row>
    <row r="65" spans="2:2" ht="14.25" customHeight="1">
      <c r="B65" s="25"/>
    </row>
    <row r="66" spans="2:2" ht="14.25" customHeight="1">
      <c r="B66" s="25"/>
    </row>
    <row r="67" spans="2:2" ht="14.25" customHeight="1">
      <c r="B67" s="25"/>
    </row>
    <row r="68" spans="2:2" ht="14.25" customHeight="1">
      <c r="B68" s="25"/>
    </row>
    <row r="69" spans="2:2" ht="14.25" customHeight="1">
      <c r="B69" s="25"/>
    </row>
    <row r="70" spans="2:2" ht="14.25" customHeight="1">
      <c r="B70" s="25"/>
    </row>
    <row r="71" spans="2:2" ht="14.25" customHeight="1">
      <c r="B71" s="25"/>
    </row>
    <row r="72" spans="2:2" ht="14.25" customHeight="1">
      <c r="B72" s="25"/>
    </row>
    <row r="73" spans="2:2" ht="14.25" customHeight="1">
      <c r="B73" s="25"/>
    </row>
    <row r="74" spans="2:2" ht="14.25" customHeight="1">
      <c r="B74" s="25"/>
    </row>
    <row r="75" spans="2:2" ht="14.25" customHeight="1">
      <c r="B75" s="25"/>
    </row>
    <row r="76" spans="2:2" ht="14.25" customHeight="1">
      <c r="B76" s="25"/>
    </row>
    <row r="77" spans="2:2" ht="14.25" customHeight="1">
      <c r="B77" s="25"/>
    </row>
    <row r="78" spans="2:2" ht="14.25" customHeight="1">
      <c r="B78" s="25"/>
    </row>
    <row r="79" spans="2:2" ht="14.25" customHeight="1">
      <c r="B79" s="25"/>
    </row>
    <row r="80" spans="2:2"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sheetData>
  <mergeCells count="31">
    <mergeCell ref="C2:G2"/>
    <mergeCell ref="C3:G3"/>
    <mergeCell ref="C4:G4"/>
    <mergeCell ref="B5:C5"/>
    <mergeCell ref="M8:O8"/>
    <mergeCell ref="C14:K14"/>
    <mergeCell ref="C15:K15"/>
    <mergeCell ref="C16:K16"/>
    <mergeCell ref="C18:E18"/>
    <mergeCell ref="P8:P9"/>
    <mergeCell ref="D9:I9"/>
    <mergeCell ref="C11:E11"/>
    <mergeCell ref="C12:K12"/>
    <mergeCell ref="C13:K13"/>
    <mergeCell ref="C19:K19"/>
    <mergeCell ref="C20:K20"/>
    <mergeCell ref="C23:E23"/>
    <mergeCell ref="C24:K24"/>
    <mergeCell ref="C25:K25"/>
    <mergeCell ref="C27:E27"/>
    <mergeCell ref="C28:K28"/>
    <mergeCell ref="C29:K29"/>
    <mergeCell ref="C38:K38"/>
    <mergeCell ref="C39:K39"/>
    <mergeCell ref="C40:K40"/>
    <mergeCell ref="C30:K30"/>
    <mergeCell ref="C31:K31"/>
    <mergeCell ref="C33:E33"/>
    <mergeCell ref="C34:K34"/>
    <mergeCell ref="C35:K35"/>
    <mergeCell ref="C37:E37"/>
  </mergeCells>
  <hyperlinks>
    <hyperlink ref="U2" location="'REQ. USUARIO'!A1" display="Volver"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997"/>
  <sheetViews>
    <sheetView workbookViewId="0">
      <selection activeCell="C42" sqref="C42"/>
    </sheetView>
  </sheetViews>
  <sheetFormatPr baseColWidth="10" defaultColWidth="12.5703125" defaultRowHeight="15" customHeight="1"/>
  <cols>
    <col min="1" max="1" width="10.5703125" customWidth="1"/>
    <col min="2" max="2" width="4.5703125" customWidth="1"/>
    <col min="3" max="7" width="15.7109375" customWidth="1"/>
    <col min="8" max="15" width="10.5703125" customWidth="1"/>
    <col min="16" max="16" width="22.7109375" customWidth="1"/>
    <col min="17" max="26" width="10.5703125" customWidth="1"/>
  </cols>
  <sheetData>
    <row r="1" spans="1:20" ht="14.25" customHeight="1">
      <c r="A1" s="45"/>
      <c r="B1" s="25"/>
    </row>
    <row r="2" spans="1:20" ht="14.25" customHeight="1">
      <c r="B2" s="26" t="s">
        <v>31</v>
      </c>
      <c r="C2" s="135" t="s">
        <v>32</v>
      </c>
      <c r="D2" s="136"/>
      <c r="E2" s="136"/>
      <c r="F2" s="136"/>
      <c r="G2" s="136"/>
      <c r="T2" s="46" t="s">
        <v>13</v>
      </c>
    </row>
    <row r="3" spans="1:20" ht="14.25" customHeight="1">
      <c r="B3" s="26" t="s">
        <v>33</v>
      </c>
      <c r="C3" s="135" t="s">
        <v>34</v>
      </c>
      <c r="D3" s="136"/>
      <c r="E3" s="136"/>
      <c r="F3" s="136"/>
      <c r="G3" s="136"/>
    </row>
    <row r="4" spans="1:20" ht="14.25" customHeight="1">
      <c r="B4" s="26" t="s">
        <v>35</v>
      </c>
      <c r="C4" s="135" t="s">
        <v>36</v>
      </c>
      <c r="D4" s="136"/>
      <c r="E4" s="136"/>
      <c r="F4" s="136"/>
      <c r="G4" s="136"/>
    </row>
    <row r="5" spans="1:20" ht="14.25" customHeight="1">
      <c r="B5" s="137" t="s">
        <v>37</v>
      </c>
      <c r="C5" s="136"/>
      <c r="D5" s="28" t="s">
        <v>38</v>
      </c>
      <c r="E5" s="28"/>
      <c r="F5" s="28"/>
      <c r="G5" s="29"/>
    </row>
    <row r="6" spans="1:20" ht="14.25" customHeight="1">
      <c r="B6" s="25"/>
    </row>
    <row r="7" spans="1:20" ht="14.25" customHeight="1">
      <c r="B7" s="30" t="s">
        <v>39</v>
      </c>
    </row>
    <row r="8" spans="1:20" ht="14.25" customHeight="1">
      <c r="B8" s="25"/>
      <c r="M8" s="123" t="s">
        <v>40</v>
      </c>
      <c r="N8" s="124"/>
      <c r="O8" s="125"/>
      <c r="P8" s="127" t="s">
        <v>41</v>
      </c>
    </row>
    <row r="9" spans="1:20" ht="14.25" customHeight="1">
      <c r="B9" s="31"/>
      <c r="C9" s="32"/>
      <c r="D9" s="129" t="s">
        <v>110</v>
      </c>
      <c r="E9" s="130"/>
      <c r="F9" s="130"/>
      <c r="G9" s="130"/>
      <c r="H9" s="130"/>
      <c r="I9" s="131"/>
      <c r="J9" s="32"/>
      <c r="K9" s="32"/>
      <c r="M9" s="33" t="s">
        <v>31</v>
      </c>
      <c r="N9" s="34" t="s">
        <v>33</v>
      </c>
      <c r="O9" s="34" t="s">
        <v>35</v>
      </c>
      <c r="P9" s="128"/>
    </row>
    <row r="10" spans="1:20" ht="14.25" customHeight="1">
      <c r="B10" s="35"/>
    </row>
    <row r="11" spans="1:20" ht="14.25" customHeight="1">
      <c r="B11" s="36"/>
      <c r="C11" s="41"/>
      <c r="D11" s="41"/>
      <c r="E11" s="32"/>
      <c r="F11" s="32"/>
      <c r="G11" s="32"/>
      <c r="H11" s="32"/>
      <c r="I11" s="32"/>
      <c r="J11" s="32"/>
      <c r="K11" s="32"/>
    </row>
    <row r="12" spans="1:20" ht="28.5" customHeight="1">
      <c r="B12" s="31">
        <v>1</v>
      </c>
      <c r="C12" s="173" t="s">
        <v>111</v>
      </c>
      <c r="D12" s="121"/>
      <c r="E12" s="121"/>
      <c r="F12" s="121"/>
      <c r="G12" s="121"/>
      <c r="H12" s="121"/>
      <c r="I12" s="121"/>
      <c r="J12" s="121"/>
      <c r="K12" s="122"/>
      <c r="L12" s="40"/>
      <c r="M12" s="39" t="s">
        <v>45</v>
      </c>
      <c r="N12" s="39"/>
      <c r="O12" s="47"/>
      <c r="P12" s="48"/>
    </row>
    <row r="13" spans="1:20" ht="29.25" customHeight="1">
      <c r="B13" s="31">
        <v>2</v>
      </c>
      <c r="C13" s="173" t="s">
        <v>112</v>
      </c>
      <c r="D13" s="121"/>
      <c r="E13" s="121"/>
      <c r="F13" s="121"/>
      <c r="G13" s="121"/>
      <c r="H13" s="121"/>
      <c r="I13" s="121"/>
      <c r="J13" s="121"/>
      <c r="K13" s="122"/>
      <c r="L13" s="40"/>
      <c r="M13" s="39" t="s">
        <v>45</v>
      </c>
      <c r="N13" s="39"/>
      <c r="O13" s="47"/>
      <c r="P13" s="48"/>
    </row>
    <row r="14" spans="1:20" ht="27.75" customHeight="1">
      <c r="B14" s="31">
        <v>3</v>
      </c>
      <c r="C14" s="173" t="s">
        <v>113</v>
      </c>
      <c r="D14" s="121"/>
      <c r="E14" s="121"/>
      <c r="F14" s="121"/>
      <c r="G14" s="121"/>
      <c r="H14" s="121"/>
      <c r="I14" s="121"/>
      <c r="J14" s="121"/>
      <c r="K14" s="122"/>
      <c r="L14" s="40"/>
      <c r="M14" s="39" t="s">
        <v>45</v>
      </c>
      <c r="N14" s="39"/>
      <c r="O14" s="47"/>
      <c r="P14" s="48"/>
    </row>
    <row r="15" spans="1:20" ht="27.75" customHeight="1">
      <c r="B15" s="31">
        <v>4</v>
      </c>
      <c r="C15" s="173" t="s">
        <v>114</v>
      </c>
      <c r="D15" s="121"/>
      <c r="E15" s="121"/>
      <c r="F15" s="121"/>
      <c r="G15" s="121"/>
      <c r="H15" s="121"/>
      <c r="I15" s="121"/>
      <c r="J15" s="121"/>
      <c r="K15" s="122"/>
      <c r="L15" s="40"/>
      <c r="M15" s="39" t="s">
        <v>45</v>
      </c>
      <c r="N15" s="39"/>
      <c r="O15" s="47"/>
      <c r="P15" s="48"/>
    </row>
    <row r="16" spans="1:20" ht="29.25" customHeight="1">
      <c r="B16" s="31">
        <v>5</v>
      </c>
      <c r="C16" s="173" t="s">
        <v>115</v>
      </c>
      <c r="D16" s="121"/>
      <c r="E16" s="121"/>
      <c r="F16" s="121"/>
      <c r="G16" s="121"/>
      <c r="H16" s="121"/>
      <c r="I16" s="121"/>
      <c r="J16" s="121"/>
      <c r="K16" s="122"/>
      <c r="L16" s="40"/>
      <c r="M16" s="39" t="s">
        <v>45</v>
      </c>
      <c r="N16" s="39"/>
      <c r="O16" s="47"/>
      <c r="P16" s="48"/>
    </row>
    <row r="17" spans="2:18" ht="28.5" customHeight="1">
      <c r="B17" s="31">
        <v>6</v>
      </c>
      <c r="C17" s="173" t="s">
        <v>116</v>
      </c>
      <c r="D17" s="121"/>
      <c r="E17" s="121"/>
      <c r="F17" s="121"/>
      <c r="G17" s="121"/>
      <c r="H17" s="121"/>
      <c r="I17" s="121"/>
      <c r="J17" s="121"/>
      <c r="K17" s="122"/>
      <c r="L17" s="40"/>
      <c r="M17" s="39" t="s">
        <v>45</v>
      </c>
      <c r="N17" s="39"/>
      <c r="O17" s="47"/>
      <c r="P17" s="48"/>
    </row>
    <row r="18" spans="2:18" ht="28.5" customHeight="1">
      <c r="B18" s="31">
        <v>7</v>
      </c>
      <c r="C18" s="173" t="s">
        <v>573</v>
      </c>
      <c r="D18" s="121"/>
      <c r="E18" s="121"/>
      <c r="F18" s="121"/>
      <c r="G18" s="121"/>
      <c r="H18" s="121"/>
      <c r="I18" s="121"/>
      <c r="J18" s="121"/>
      <c r="K18" s="122"/>
      <c r="L18" s="40"/>
      <c r="M18" s="39" t="s">
        <v>45</v>
      </c>
      <c r="N18" s="39"/>
      <c r="O18" s="47"/>
      <c r="P18" s="48"/>
    </row>
    <row r="19" spans="2:18" ht="28.5" customHeight="1">
      <c r="B19" s="31">
        <v>8</v>
      </c>
      <c r="C19" s="173" t="s">
        <v>117</v>
      </c>
      <c r="D19" s="121"/>
      <c r="E19" s="121"/>
      <c r="F19" s="121"/>
      <c r="G19" s="121"/>
      <c r="H19" s="121"/>
      <c r="I19" s="121"/>
      <c r="J19" s="121"/>
      <c r="K19" s="122"/>
      <c r="L19" s="40"/>
      <c r="M19" s="39" t="s">
        <v>45</v>
      </c>
      <c r="N19" s="39"/>
      <c r="O19" s="47"/>
      <c r="P19" s="48"/>
    </row>
    <row r="20" spans="2:18" ht="28.5" customHeight="1">
      <c r="B20" s="31">
        <v>9</v>
      </c>
      <c r="C20" s="173" t="s">
        <v>118</v>
      </c>
      <c r="D20" s="121"/>
      <c r="E20" s="121"/>
      <c r="F20" s="121"/>
      <c r="G20" s="121"/>
      <c r="H20" s="121"/>
      <c r="I20" s="121"/>
      <c r="J20" s="121"/>
      <c r="K20" s="122"/>
      <c r="L20" s="40"/>
      <c r="M20" s="39" t="s">
        <v>45</v>
      </c>
      <c r="N20" s="39"/>
      <c r="O20" s="47"/>
      <c r="P20" s="48"/>
    </row>
    <row r="21" spans="2:18" ht="27.75" customHeight="1">
      <c r="B21" s="31">
        <v>10</v>
      </c>
      <c r="C21" s="173" t="s">
        <v>119</v>
      </c>
      <c r="D21" s="121"/>
      <c r="E21" s="121"/>
      <c r="F21" s="121"/>
      <c r="G21" s="121"/>
      <c r="H21" s="121"/>
      <c r="I21" s="121"/>
      <c r="J21" s="121"/>
      <c r="K21" s="122"/>
      <c r="L21" s="40"/>
      <c r="M21" s="39" t="s">
        <v>45</v>
      </c>
      <c r="N21" s="39"/>
      <c r="O21" s="47"/>
      <c r="P21" s="48"/>
    </row>
    <row r="22" spans="2:18" ht="29.25" customHeight="1">
      <c r="B22" s="31">
        <v>11</v>
      </c>
      <c r="C22" s="173" t="s">
        <v>120</v>
      </c>
      <c r="D22" s="121"/>
      <c r="E22" s="121"/>
      <c r="F22" s="121"/>
      <c r="G22" s="121"/>
      <c r="H22" s="121"/>
      <c r="I22" s="121"/>
      <c r="J22" s="121"/>
      <c r="K22" s="122"/>
      <c r="L22" s="40"/>
      <c r="M22" s="39" t="s">
        <v>45</v>
      </c>
      <c r="N22" s="39"/>
      <c r="O22" s="47"/>
      <c r="P22" s="48"/>
    </row>
    <row r="23" spans="2:18" ht="27.75" customHeight="1">
      <c r="B23" s="31">
        <v>12</v>
      </c>
      <c r="C23" s="173" t="s">
        <v>121</v>
      </c>
      <c r="D23" s="121"/>
      <c r="E23" s="121"/>
      <c r="F23" s="121"/>
      <c r="G23" s="121"/>
      <c r="H23" s="121"/>
      <c r="I23" s="121"/>
      <c r="J23" s="121"/>
      <c r="K23" s="122"/>
      <c r="L23" s="40"/>
      <c r="M23" s="39" t="s">
        <v>45</v>
      </c>
      <c r="N23" s="39"/>
      <c r="O23" s="47"/>
      <c r="P23" s="48"/>
    </row>
    <row r="24" spans="2:18" ht="30.75" customHeight="1">
      <c r="B24" s="31">
        <v>13</v>
      </c>
      <c r="C24" s="173" t="s">
        <v>122</v>
      </c>
      <c r="D24" s="121"/>
      <c r="E24" s="121"/>
      <c r="F24" s="121"/>
      <c r="G24" s="121"/>
      <c r="H24" s="121"/>
      <c r="I24" s="121"/>
      <c r="J24" s="121"/>
      <c r="K24" s="122"/>
      <c r="L24" s="40"/>
      <c r="M24" s="39" t="s">
        <v>45</v>
      </c>
      <c r="N24" s="39"/>
      <c r="O24" s="47"/>
      <c r="P24" s="48"/>
    </row>
    <row r="25" spans="2:18" ht="30.75" customHeight="1">
      <c r="B25" s="31">
        <v>14</v>
      </c>
      <c r="C25" s="173" t="s">
        <v>123</v>
      </c>
      <c r="D25" s="121"/>
      <c r="E25" s="121"/>
      <c r="F25" s="121"/>
      <c r="G25" s="121"/>
      <c r="H25" s="121"/>
      <c r="I25" s="121"/>
      <c r="J25" s="121"/>
      <c r="K25" s="122"/>
      <c r="L25" s="40"/>
      <c r="M25" s="75" t="s">
        <v>45</v>
      </c>
      <c r="N25" s="39"/>
      <c r="O25" s="47"/>
      <c r="P25" s="48"/>
    </row>
    <row r="26" spans="2:18" ht="30" customHeight="1">
      <c r="B26" s="31">
        <v>15</v>
      </c>
      <c r="C26" s="173" t="s">
        <v>124</v>
      </c>
      <c r="D26" s="121"/>
      <c r="E26" s="121"/>
      <c r="F26" s="121"/>
      <c r="G26" s="121"/>
      <c r="H26" s="121"/>
      <c r="I26" s="121"/>
      <c r="J26" s="121"/>
      <c r="K26" s="122"/>
      <c r="L26" s="40"/>
      <c r="M26" s="39" t="s">
        <v>45</v>
      </c>
      <c r="N26" s="39"/>
      <c r="O26" s="47"/>
      <c r="P26" s="48"/>
    </row>
    <row r="27" spans="2:18" ht="27.75" customHeight="1">
      <c r="B27" s="31">
        <v>16</v>
      </c>
      <c r="C27" s="173" t="s">
        <v>125</v>
      </c>
      <c r="D27" s="121"/>
      <c r="E27" s="121"/>
      <c r="F27" s="121"/>
      <c r="G27" s="121"/>
      <c r="H27" s="121"/>
      <c r="I27" s="121"/>
      <c r="J27" s="121"/>
      <c r="K27" s="122"/>
      <c r="L27" s="40"/>
      <c r="M27" s="39" t="s">
        <v>45</v>
      </c>
      <c r="N27" s="39"/>
      <c r="O27" s="47"/>
      <c r="P27" s="48"/>
    </row>
    <row r="28" spans="2:18" ht="27.75" customHeight="1">
      <c r="B28" s="31">
        <v>17</v>
      </c>
      <c r="C28" s="173" t="s">
        <v>126</v>
      </c>
      <c r="D28" s="121"/>
      <c r="E28" s="121"/>
      <c r="F28" s="121"/>
      <c r="G28" s="121"/>
      <c r="H28" s="121"/>
      <c r="I28" s="121"/>
      <c r="J28" s="121"/>
      <c r="K28" s="122"/>
      <c r="L28" s="40"/>
      <c r="M28" s="39" t="s">
        <v>45</v>
      </c>
      <c r="N28" s="39"/>
      <c r="O28" s="47"/>
      <c r="P28" s="48"/>
    </row>
    <row r="29" spans="2:18" ht="29.25" customHeight="1">
      <c r="B29" s="31">
        <v>18</v>
      </c>
      <c r="C29" s="173" t="s">
        <v>127</v>
      </c>
      <c r="D29" s="121"/>
      <c r="E29" s="121"/>
      <c r="F29" s="121"/>
      <c r="G29" s="121"/>
      <c r="H29" s="121"/>
      <c r="I29" s="121"/>
      <c r="J29" s="121"/>
      <c r="K29" s="122"/>
      <c r="L29" s="40"/>
      <c r="M29" s="39" t="s">
        <v>45</v>
      </c>
      <c r="N29" s="39"/>
      <c r="O29" s="47"/>
      <c r="P29" s="48"/>
    </row>
    <row r="30" spans="2:18" ht="29.25" customHeight="1">
      <c r="B30" s="31">
        <v>20</v>
      </c>
      <c r="C30" s="173" t="s">
        <v>128</v>
      </c>
      <c r="D30" s="121"/>
      <c r="E30" s="121"/>
      <c r="F30" s="121"/>
      <c r="G30" s="121"/>
      <c r="H30" s="121"/>
      <c r="I30" s="121"/>
      <c r="J30" s="121"/>
      <c r="K30" s="122"/>
      <c r="L30" s="40"/>
      <c r="M30" s="39" t="s">
        <v>45</v>
      </c>
      <c r="N30" s="39"/>
      <c r="O30" s="47"/>
      <c r="P30" s="48"/>
    </row>
    <row r="31" spans="2:18" ht="27.75" customHeight="1">
      <c r="B31" s="31">
        <v>21</v>
      </c>
      <c r="C31" s="173" t="s">
        <v>129</v>
      </c>
      <c r="D31" s="121"/>
      <c r="E31" s="121"/>
      <c r="F31" s="121"/>
      <c r="G31" s="121"/>
      <c r="H31" s="121"/>
      <c r="I31" s="121"/>
      <c r="J31" s="121"/>
      <c r="K31" s="122"/>
      <c r="L31" s="40"/>
      <c r="M31" s="39" t="s">
        <v>45</v>
      </c>
      <c r="N31" s="39"/>
      <c r="O31" s="47"/>
      <c r="P31" s="48"/>
    </row>
    <row r="32" spans="2:18" ht="30.75" customHeight="1">
      <c r="B32" s="31">
        <v>22</v>
      </c>
      <c r="C32" s="173" t="s">
        <v>130</v>
      </c>
      <c r="D32" s="121"/>
      <c r="E32" s="121"/>
      <c r="F32" s="121"/>
      <c r="G32" s="121"/>
      <c r="H32" s="121"/>
      <c r="I32" s="121"/>
      <c r="J32" s="121"/>
      <c r="K32" s="122"/>
      <c r="L32" s="40"/>
      <c r="M32" s="39"/>
      <c r="N32" s="39" t="s">
        <v>45</v>
      </c>
      <c r="O32" s="47"/>
      <c r="P32" s="48"/>
      <c r="R32" s="43" t="s">
        <v>131</v>
      </c>
    </row>
    <row r="33" spans="2:16" ht="30" customHeight="1">
      <c r="B33" s="31">
        <v>23</v>
      </c>
      <c r="C33" s="173" t="s">
        <v>132</v>
      </c>
      <c r="D33" s="121"/>
      <c r="E33" s="121"/>
      <c r="F33" s="121"/>
      <c r="G33" s="121"/>
      <c r="H33" s="121"/>
      <c r="I33" s="121"/>
      <c r="J33" s="121"/>
      <c r="K33" s="122"/>
      <c r="L33" s="40"/>
      <c r="M33" s="39" t="s">
        <v>45</v>
      </c>
      <c r="N33" s="39"/>
      <c r="O33" s="47"/>
      <c r="P33" s="48"/>
    </row>
    <row r="34" spans="2:16" ht="30" customHeight="1">
      <c r="B34" s="31">
        <v>24</v>
      </c>
      <c r="C34" s="173" t="s">
        <v>133</v>
      </c>
      <c r="D34" s="121"/>
      <c r="E34" s="121"/>
      <c r="F34" s="121"/>
      <c r="G34" s="121"/>
      <c r="H34" s="121"/>
      <c r="I34" s="121"/>
      <c r="J34" s="121"/>
      <c r="K34" s="122"/>
      <c r="L34" s="40"/>
      <c r="M34" s="39"/>
      <c r="N34" s="39" t="s">
        <v>45</v>
      </c>
      <c r="O34" s="47"/>
      <c r="P34" s="48"/>
    </row>
    <row r="35" spans="2:16" ht="27" customHeight="1">
      <c r="B35" s="31">
        <v>26</v>
      </c>
      <c r="C35" s="173" t="s">
        <v>134</v>
      </c>
      <c r="D35" s="121"/>
      <c r="E35" s="121"/>
      <c r="F35" s="121"/>
      <c r="G35" s="121"/>
      <c r="H35" s="121"/>
      <c r="I35" s="121"/>
      <c r="J35" s="121"/>
      <c r="K35" s="122"/>
      <c r="L35" s="40"/>
      <c r="M35" s="39"/>
      <c r="N35" s="39" t="s">
        <v>45</v>
      </c>
      <c r="O35" s="47"/>
      <c r="P35" s="48"/>
    </row>
    <row r="36" spans="2:16" ht="28.5" customHeight="1">
      <c r="B36" s="31">
        <v>27</v>
      </c>
      <c r="C36" s="173" t="s">
        <v>135</v>
      </c>
      <c r="D36" s="121"/>
      <c r="E36" s="121"/>
      <c r="F36" s="121"/>
      <c r="G36" s="121"/>
      <c r="H36" s="121"/>
      <c r="I36" s="121"/>
      <c r="J36" s="121"/>
      <c r="K36" s="122"/>
      <c r="L36" s="40"/>
      <c r="M36" s="39" t="s">
        <v>45</v>
      </c>
      <c r="N36" s="39"/>
      <c r="O36" s="47"/>
      <c r="P36" s="48"/>
    </row>
    <row r="37" spans="2:16" ht="27.75" customHeight="1">
      <c r="B37" s="31">
        <v>28</v>
      </c>
      <c r="C37" s="173" t="s">
        <v>136</v>
      </c>
      <c r="D37" s="121"/>
      <c r="E37" s="121"/>
      <c r="F37" s="121"/>
      <c r="G37" s="121"/>
      <c r="H37" s="121"/>
      <c r="I37" s="121"/>
      <c r="J37" s="121"/>
      <c r="K37" s="122"/>
      <c r="L37" s="40"/>
      <c r="M37" s="39"/>
      <c r="N37" s="39" t="s">
        <v>45</v>
      </c>
      <c r="O37" s="47"/>
      <c r="P37" s="48"/>
    </row>
    <row r="38" spans="2:16" ht="30" customHeight="1">
      <c r="B38" s="31">
        <v>29</v>
      </c>
      <c r="C38" s="173" t="s">
        <v>137</v>
      </c>
      <c r="D38" s="121"/>
      <c r="E38" s="121"/>
      <c r="F38" s="121"/>
      <c r="G38" s="121"/>
      <c r="H38" s="121"/>
      <c r="I38" s="121"/>
      <c r="J38" s="121"/>
      <c r="K38" s="122"/>
      <c r="L38" s="40"/>
      <c r="M38" s="39"/>
      <c r="N38" s="39" t="s">
        <v>45</v>
      </c>
      <c r="O38" s="47"/>
      <c r="P38" s="48"/>
    </row>
    <row r="39" spans="2:16" ht="30" customHeight="1">
      <c r="B39" s="31">
        <v>30</v>
      </c>
      <c r="C39" s="173" t="s">
        <v>138</v>
      </c>
      <c r="D39" s="121"/>
      <c r="E39" s="121"/>
      <c r="F39" s="121"/>
      <c r="G39" s="121"/>
      <c r="H39" s="121"/>
      <c r="I39" s="121"/>
      <c r="J39" s="121"/>
      <c r="K39" s="122"/>
      <c r="L39" s="40"/>
      <c r="M39" s="39" t="s">
        <v>45</v>
      </c>
      <c r="N39" s="39"/>
      <c r="O39" s="47"/>
      <c r="P39" s="48"/>
    </row>
    <row r="40" spans="2:16" ht="14.25" customHeight="1">
      <c r="B40" s="25"/>
    </row>
    <row r="41" spans="2:16" ht="14.25" customHeight="1">
      <c r="B41" s="25"/>
    </row>
    <row r="42" spans="2:16" ht="14.25" customHeight="1">
      <c r="B42" s="25"/>
    </row>
    <row r="43" spans="2:16" ht="14.25" customHeight="1">
      <c r="B43" s="25"/>
    </row>
    <row r="44" spans="2:16" ht="14.25" customHeight="1">
      <c r="B44" s="25"/>
    </row>
    <row r="45" spans="2:16" ht="14.25" customHeight="1">
      <c r="B45" s="25"/>
    </row>
    <row r="46" spans="2:16" ht="14.25" customHeight="1">
      <c r="B46" s="25"/>
    </row>
    <row r="47" spans="2:16" ht="14.25" customHeight="1">
      <c r="B47" s="25"/>
    </row>
    <row r="48" spans="2:16" ht="14.25" customHeight="1">
      <c r="B48" s="25"/>
    </row>
    <row r="49" spans="2:2" ht="14.25" customHeight="1">
      <c r="B49" s="25"/>
    </row>
    <row r="50" spans="2:2" ht="14.25" customHeight="1">
      <c r="B50" s="25"/>
    </row>
    <row r="51" spans="2:2" ht="14.25" customHeight="1">
      <c r="B51" s="25"/>
    </row>
    <row r="52" spans="2:2" ht="14.25" customHeight="1">
      <c r="B52" s="25"/>
    </row>
    <row r="53" spans="2:2" ht="14.25" customHeight="1">
      <c r="B53" s="25"/>
    </row>
    <row r="54" spans="2:2" ht="14.25" customHeight="1">
      <c r="B54" s="25"/>
    </row>
    <row r="55" spans="2:2" ht="14.25" customHeight="1">
      <c r="B55" s="25"/>
    </row>
    <row r="56" spans="2:2" ht="14.25" customHeight="1">
      <c r="B56" s="25"/>
    </row>
    <row r="57" spans="2:2" ht="14.25" customHeight="1">
      <c r="B57" s="25"/>
    </row>
    <row r="58" spans="2:2" ht="14.25" customHeight="1">
      <c r="B58" s="25"/>
    </row>
    <row r="59" spans="2:2" ht="14.25" customHeight="1">
      <c r="B59" s="25"/>
    </row>
    <row r="60" spans="2:2" ht="14.25" customHeight="1">
      <c r="B60" s="25"/>
    </row>
    <row r="61" spans="2:2" ht="14.25" customHeight="1">
      <c r="B61" s="25"/>
    </row>
    <row r="62" spans="2:2" ht="14.25" customHeight="1">
      <c r="B62" s="25"/>
    </row>
    <row r="63" spans="2:2" ht="14.25" customHeight="1">
      <c r="B63" s="25"/>
    </row>
    <row r="64" spans="2:2" ht="14.25" customHeight="1">
      <c r="B64" s="25"/>
    </row>
    <row r="65" spans="2:2" ht="14.25" customHeight="1">
      <c r="B65" s="25"/>
    </row>
    <row r="66" spans="2:2" ht="14.25" customHeight="1">
      <c r="B66" s="25"/>
    </row>
    <row r="67" spans="2:2" ht="14.25" customHeight="1">
      <c r="B67" s="25"/>
    </row>
    <row r="68" spans="2:2" ht="14.25" customHeight="1">
      <c r="B68" s="25"/>
    </row>
    <row r="69" spans="2:2" ht="14.25" customHeight="1">
      <c r="B69" s="25"/>
    </row>
    <row r="70" spans="2:2" ht="14.25" customHeight="1">
      <c r="B70" s="25"/>
    </row>
    <row r="71" spans="2:2" ht="14.25" customHeight="1">
      <c r="B71" s="25"/>
    </row>
    <row r="72" spans="2:2" ht="14.25" customHeight="1">
      <c r="B72" s="25"/>
    </row>
    <row r="73" spans="2:2" ht="14.25" customHeight="1">
      <c r="B73" s="25"/>
    </row>
    <row r="74" spans="2:2" ht="14.25" customHeight="1">
      <c r="B74" s="25"/>
    </row>
    <row r="75" spans="2:2" ht="14.25" customHeight="1">
      <c r="B75" s="25"/>
    </row>
    <row r="76" spans="2:2" ht="14.25" customHeight="1">
      <c r="B76" s="25"/>
    </row>
    <row r="77" spans="2:2" ht="14.25" customHeight="1">
      <c r="B77" s="25"/>
    </row>
    <row r="78" spans="2:2" ht="14.25" customHeight="1">
      <c r="B78" s="25"/>
    </row>
    <row r="79" spans="2:2" ht="14.25" customHeight="1">
      <c r="B79" s="25"/>
    </row>
    <row r="80" spans="2:2"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sheetData>
  <mergeCells count="35">
    <mergeCell ref="C2:G2"/>
    <mergeCell ref="C3:G3"/>
    <mergeCell ref="C4:G4"/>
    <mergeCell ref="B5:C5"/>
    <mergeCell ref="M8:O8"/>
    <mergeCell ref="P8:P9"/>
    <mergeCell ref="D9:I9"/>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8:K38"/>
    <mergeCell ref="C39:K39"/>
    <mergeCell ref="C32:K32"/>
    <mergeCell ref="C33:K33"/>
    <mergeCell ref="C34:K34"/>
    <mergeCell ref="C35:K35"/>
    <mergeCell ref="C36:K36"/>
    <mergeCell ref="C37:K37"/>
  </mergeCells>
  <hyperlinks>
    <hyperlink ref="T2" location="'REQ. FUN. GEN'!A1" display="Volver" xr:uid="{00000000-0004-0000-0600-000000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55"/>
  <sheetViews>
    <sheetView workbookViewId="0">
      <selection activeCell="R19" sqref="R19"/>
    </sheetView>
  </sheetViews>
  <sheetFormatPr baseColWidth="10" defaultColWidth="12.5703125" defaultRowHeight="15" customHeight="1"/>
  <cols>
    <col min="1" max="1" width="10.5703125" customWidth="1"/>
    <col min="2" max="2" width="4.5703125" customWidth="1"/>
    <col min="3" max="3" width="11.42578125" customWidth="1"/>
    <col min="4" max="8" width="10.5703125" customWidth="1"/>
    <col min="9" max="9" width="15.7109375" customWidth="1"/>
    <col min="10" max="15" width="10.5703125" customWidth="1"/>
    <col min="16" max="16" width="22.7109375" customWidth="1"/>
    <col min="17" max="26" width="10.5703125" customWidth="1"/>
  </cols>
  <sheetData>
    <row r="1" spans="1:22" ht="14.25" customHeight="1">
      <c r="A1" s="45"/>
      <c r="B1" s="25"/>
    </row>
    <row r="2" spans="1:22" ht="14.25" customHeight="1">
      <c r="B2" s="26" t="s">
        <v>31</v>
      </c>
      <c r="C2" s="135" t="s">
        <v>32</v>
      </c>
      <c r="D2" s="136"/>
      <c r="E2" s="136"/>
      <c r="F2" s="136"/>
      <c r="G2" s="136"/>
      <c r="V2" s="72" t="s">
        <v>13</v>
      </c>
    </row>
    <row r="3" spans="1:22" ht="14.25" customHeight="1">
      <c r="B3" s="26" t="s">
        <v>33</v>
      </c>
      <c r="C3" s="135" t="s">
        <v>34</v>
      </c>
      <c r="D3" s="136"/>
      <c r="E3" s="136"/>
      <c r="F3" s="136"/>
      <c r="G3" s="136"/>
    </row>
    <row r="4" spans="1:22" ht="14.25" customHeight="1">
      <c r="B4" s="26" t="s">
        <v>35</v>
      </c>
      <c r="C4" s="135" t="s">
        <v>36</v>
      </c>
      <c r="D4" s="136"/>
      <c r="E4" s="136"/>
      <c r="F4" s="136"/>
      <c r="G4" s="136"/>
    </row>
    <row r="5" spans="1:22" ht="14.25" customHeight="1">
      <c r="B5" s="137" t="s">
        <v>37</v>
      </c>
      <c r="C5" s="136"/>
      <c r="D5" s="28" t="s">
        <v>38</v>
      </c>
      <c r="E5" s="28"/>
      <c r="F5" s="28"/>
      <c r="G5" s="29"/>
    </row>
    <row r="6" spans="1:22" ht="14.25" customHeight="1">
      <c r="B6" s="25"/>
    </row>
    <row r="7" spans="1:22" ht="14.25" customHeight="1">
      <c r="B7" s="30" t="s">
        <v>39</v>
      </c>
    </row>
    <row r="8" spans="1:22" ht="14.25" customHeight="1">
      <c r="B8" s="25"/>
      <c r="M8" s="123" t="s">
        <v>40</v>
      </c>
      <c r="N8" s="124"/>
      <c r="O8" s="125"/>
      <c r="P8" s="127" t="s">
        <v>41</v>
      </c>
    </row>
    <row r="9" spans="1:22" ht="14.25" customHeight="1">
      <c r="B9" s="31"/>
      <c r="C9" s="32"/>
      <c r="D9" s="129" t="s">
        <v>139</v>
      </c>
      <c r="E9" s="130"/>
      <c r="F9" s="130"/>
      <c r="G9" s="130"/>
      <c r="H9" s="130"/>
      <c r="I9" s="131"/>
      <c r="J9" s="32"/>
      <c r="K9" s="32"/>
      <c r="M9" s="33" t="s">
        <v>31</v>
      </c>
      <c r="N9" s="34" t="s">
        <v>33</v>
      </c>
      <c r="O9" s="34" t="s">
        <v>35</v>
      </c>
      <c r="P9" s="128"/>
    </row>
    <row r="10" spans="1:22" ht="14.25" customHeight="1">
      <c r="B10" s="35"/>
    </row>
    <row r="11" spans="1:22" ht="14.25" customHeight="1">
      <c r="B11" s="36"/>
      <c r="C11" s="41"/>
      <c r="D11" s="41"/>
      <c r="E11" s="32"/>
      <c r="F11" s="32"/>
      <c r="G11" s="32"/>
      <c r="H11" s="32"/>
      <c r="I11" s="32"/>
      <c r="J11" s="32"/>
      <c r="K11" s="32"/>
    </row>
    <row r="12" spans="1:22" ht="28.5" customHeight="1">
      <c r="B12" s="37">
        <v>1</v>
      </c>
      <c r="C12" s="120" t="s">
        <v>140</v>
      </c>
      <c r="D12" s="174"/>
      <c r="E12" s="174"/>
      <c r="F12" s="174"/>
      <c r="G12" s="174"/>
      <c r="H12" s="174"/>
      <c r="I12" s="174"/>
      <c r="J12" s="174"/>
      <c r="K12" s="175"/>
      <c r="L12" s="38"/>
      <c r="M12" s="39" t="s">
        <v>45</v>
      </c>
      <c r="N12" s="39"/>
      <c r="O12" s="47"/>
      <c r="P12" s="48"/>
      <c r="R12" s="49"/>
    </row>
    <row r="13" spans="1:22" ht="28.5" customHeight="1">
      <c r="B13" s="31">
        <v>2</v>
      </c>
      <c r="C13" s="126" t="s">
        <v>844</v>
      </c>
      <c r="D13" s="174"/>
      <c r="E13" s="174"/>
      <c r="F13" s="174"/>
      <c r="G13" s="174"/>
      <c r="H13" s="174"/>
      <c r="I13" s="174"/>
      <c r="J13" s="174"/>
      <c r="K13" s="175"/>
      <c r="L13" s="40"/>
      <c r="M13" s="39" t="s">
        <v>45</v>
      </c>
      <c r="N13" s="39"/>
      <c r="O13" s="47"/>
      <c r="P13" s="48"/>
      <c r="R13" s="43"/>
    </row>
    <row r="14" spans="1:22" ht="30" customHeight="1">
      <c r="B14" s="31">
        <v>3</v>
      </c>
      <c r="C14" s="120" t="s">
        <v>141</v>
      </c>
      <c r="D14" s="174"/>
      <c r="E14" s="174"/>
      <c r="F14" s="174"/>
      <c r="G14" s="174"/>
      <c r="H14" s="174"/>
      <c r="I14" s="174"/>
      <c r="J14" s="174"/>
      <c r="K14" s="175"/>
      <c r="L14" s="40"/>
      <c r="M14" s="39" t="s">
        <v>45</v>
      </c>
      <c r="N14" s="39"/>
      <c r="O14" s="47"/>
      <c r="P14" s="48"/>
      <c r="R14" s="43"/>
    </row>
    <row r="15" spans="1:22" ht="28.5" customHeight="1">
      <c r="B15" s="37">
        <v>4</v>
      </c>
      <c r="C15" s="120" t="s">
        <v>142</v>
      </c>
      <c r="D15" s="174"/>
      <c r="E15" s="174"/>
      <c r="F15" s="174"/>
      <c r="G15" s="174"/>
      <c r="H15" s="174"/>
      <c r="I15" s="174"/>
      <c r="J15" s="174"/>
      <c r="K15" s="175"/>
      <c r="L15" s="40"/>
      <c r="M15" s="39" t="s">
        <v>45</v>
      </c>
      <c r="N15" s="39"/>
      <c r="O15" s="47"/>
      <c r="P15" s="48"/>
    </row>
    <row r="16" spans="1:22" ht="29.25" customHeight="1">
      <c r="B16" s="31">
        <v>5</v>
      </c>
      <c r="C16" s="126" t="s">
        <v>845</v>
      </c>
      <c r="D16" s="174"/>
      <c r="E16" s="174"/>
      <c r="F16" s="174"/>
      <c r="G16" s="174"/>
      <c r="H16" s="174"/>
      <c r="I16" s="174"/>
      <c r="J16" s="174"/>
      <c r="K16" s="175"/>
      <c r="L16" s="40"/>
      <c r="M16" s="39" t="s">
        <v>45</v>
      </c>
      <c r="N16" s="39"/>
      <c r="O16" s="47"/>
      <c r="P16" s="48"/>
    </row>
    <row r="17" spans="2:16" ht="30" customHeight="1">
      <c r="B17" s="31">
        <v>6</v>
      </c>
      <c r="C17" s="126" t="s">
        <v>846</v>
      </c>
      <c r="D17" s="174"/>
      <c r="E17" s="174"/>
      <c r="F17" s="174"/>
      <c r="G17" s="174"/>
      <c r="H17" s="174"/>
      <c r="I17" s="174"/>
      <c r="J17" s="174"/>
      <c r="K17" s="175"/>
      <c r="L17" s="40"/>
      <c r="M17" s="75" t="s">
        <v>45</v>
      </c>
      <c r="N17" s="39"/>
      <c r="O17" s="47"/>
      <c r="P17" s="76"/>
    </row>
    <row r="18" spans="2:16" ht="29.25" customHeight="1">
      <c r="B18" s="37">
        <v>7</v>
      </c>
      <c r="C18" s="126" t="s">
        <v>847</v>
      </c>
      <c r="D18" s="174"/>
      <c r="E18" s="174"/>
      <c r="F18" s="174"/>
      <c r="G18" s="174"/>
      <c r="H18" s="174"/>
      <c r="I18" s="174"/>
      <c r="J18" s="174"/>
      <c r="K18" s="175"/>
      <c r="L18" s="40"/>
      <c r="M18" s="75" t="s">
        <v>45</v>
      </c>
      <c r="N18" s="39"/>
      <c r="O18" s="47"/>
      <c r="P18" s="76"/>
    </row>
    <row r="19" spans="2:16" ht="29.25" customHeight="1">
      <c r="B19" s="31">
        <v>8</v>
      </c>
      <c r="C19" s="126" t="s">
        <v>848</v>
      </c>
      <c r="D19" s="174"/>
      <c r="E19" s="174"/>
      <c r="F19" s="174"/>
      <c r="G19" s="174"/>
      <c r="H19" s="174"/>
      <c r="I19" s="174"/>
      <c r="J19" s="174"/>
      <c r="K19" s="175"/>
      <c r="L19" s="40"/>
      <c r="M19" s="75" t="s">
        <v>45</v>
      </c>
      <c r="N19" s="39"/>
      <c r="O19" s="47"/>
      <c r="P19" s="76"/>
    </row>
    <row r="20" spans="2:16" ht="29.25" customHeight="1">
      <c r="B20" s="31">
        <v>9</v>
      </c>
      <c r="C20" s="126" t="s">
        <v>849</v>
      </c>
      <c r="D20" s="174"/>
      <c r="E20" s="174"/>
      <c r="F20" s="174"/>
      <c r="G20" s="174"/>
      <c r="H20" s="174"/>
      <c r="I20" s="174"/>
      <c r="J20" s="174"/>
      <c r="K20" s="175"/>
      <c r="L20" s="40"/>
      <c r="M20" s="75" t="s">
        <v>45</v>
      </c>
      <c r="N20" s="39"/>
      <c r="O20" s="47"/>
      <c r="P20" s="76"/>
    </row>
    <row r="21" spans="2:16" ht="28.5" customHeight="1">
      <c r="B21" s="37">
        <v>10</v>
      </c>
      <c r="C21" s="120" t="s">
        <v>850</v>
      </c>
      <c r="D21" s="174"/>
      <c r="E21" s="174"/>
      <c r="F21" s="174"/>
      <c r="G21" s="174"/>
      <c r="H21" s="174"/>
      <c r="I21" s="174"/>
      <c r="J21" s="174"/>
      <c r="K21" s="175"/>
      <c r="L21" s="40"/>
      <c r="M21" s="75" t="s">
        <v>45</v>
      </c>
      <c r="N21" s="39"/>
      <c r="O21" s="47"/>
      <c r="P21" s="76"/>
    </row>
    <row r="22" spans="2:16" ht="29.25" customHeight="1">
      <c r="B22" s="31">
        <v>11</v>
      </c>
      <c r="C22" s="126" t="s">
        <v>851</v>
      </c>
      <c r="D22" s="174"/>
      <c r="E22" s="174"/>
      <c r="F22" s="174"/>
      <c r="G22" s="174"/>
      <c r="H22" s="174"/>
      <c r="I22" s="174"/>
      <c r="J22" s="174"/>
      <c r="K22" s="175"/>
      <c r="L22" s="40"/>
      <c r="M22" s="75" t="s">
        <v>45</v>
      </c>
      <c r="N22" s="39"/>
      <c r="O22" s="47"/>
      <c r="P22" s="76"/>
    </row>
    <row r="23" spans="2:16" ht="29.25" customHeight="1">
      <c r="B23" s="31">
        <v>12</v>
      </c>
      <c r="C23" s="126" t="s">
        <v>852</v>
      </c>
      <c r="D23" s="174"/>
      <c r="E23" s="174"/>
      <c r="F23" s="174"/>
      <c r="G23" s="174"/>
      <c r="H23" s="174"/>
      <c r="I23" s="174"/>
      <c r="J23" s="174"/>
      <c r="K23" s="175"/>
      <c r="L23" s="40"/>
      <c r="M23" s="75" t="s">
        <v>45</v>
      </c>
      <c r="N23" s="39"/>
      <c r="O23" s="47"/>
      <c r="P23" s="76"/>
    </row>
    <row r="24" spans="2:16" ht="30" customHeight="1">
      <c r="B24" s="37">
        <v>13</v>
      </c>
      <c r="C24" s="126" t="s">
        <v>853</v>
      </c>
      <c r="D24" s="174"/>
      <c r="E24" s="174"/>
      <c r="F24" s="174"/>
      <c r="G24" s="174"/>
      <c r="H24" s="174"/>
      <c r="I24" s="174"/>
      <c r="J24" s="174"/>
      <c r="K24" s="175"/>
      <c r="L24" s="40"/>
      <c r="M24" s="75" t="s">
        <v>45</v>
      </c>
      <c r="N24" s="39"/>
      <c r="O24" s="47"/>
      <c r="P24" s="76"/>
    </row>
    <row r="25" spans="2:16" ht="28.5" customHeight="1">
      <c r="B25" s="31">
        <v>14</v>
      </c>
      <c r="C25" s="126" t="s">
        <v>854</v>
      </c>
      <c r="D25" s="174"/>
      <c r="E25" s="174"/>
      <c r="F25" s="174"/>
      <c r="G25" s="174"/>
      <c r="H25" s="174"/>
      <c r="I25" s="174"/>
      <c r="J25" s="174"/>
      <c r="K25" s="175"/>
      <c r="L25" s="40"/>
      <c r="M25" s="75" t="s">
        <v>45</v>
      </c>
      <c r="N25" s="39"/>
      <c r="O25" s="47"/>
      <c r="P25" s="76"/>
    </row>
    <row r="26" spans="2:16" ht="28.5" customHeight="1">
      <c r="B26" s="31">
        <v>15</v>
      </c>
      <c r="C26" s="120" t="s">
        <v>855</v>
      </c>
      <c r="D26" s="174"/>
      <c r="E26" s="174"/>
      <c r="F26" s="174"/>
      <c r="G26" s="174"/>
      <c r="H26" s="174"/>
      <c r="I26" s="174"/>
      <c r="J26" s="174"/>
      <c r="K26" s="175"/>
      <c r="L26" s="40"/>
      <c r="M26" s="75" t="s">
        <v>45</v>
      </c>
      <c r="N26" s="39"/>
      <c r="O26" s="47"/>
      <c r="P26" s="76"/>
    </row>
    <row r="27" spans="2:16" ht="30" customHeight="1">
      <c r="B27" s="37">
        <v>16</v>
      </c>
      <c r="C27" s="126" t="s">
        <v>856</v>
      </c>
      <c r="D27" s="174"/>
      <c r="E27" s="174"/>
      <c r="F27" s="174"/>
      <c r="G27" s="174"/>
      <c r="H27" s="174"/>
      <c r="I27" s="174"/>
      <c r="J27" s="174"/>
      <c r="K27" s="175"/>
      <c r="L27" s="40"/>
      <c r="M27" s="75" t="s">
        <v>45</v>
      </c>
      <c r="N27" s="39"/>
      <c r="O27" s="47"/>
      <c r="P27" s="76"/>
    </row>
    <row r="28" spans="2:16" ht="29.25" customHeight="1">
      <c r="B28" s="31">
        <v>17</v>
      </c>
      <c r="C28" s="126" t="s">
        <v>857</v>
      </c>
      <c r="D28" s="174"/>
      <c r="E28" s="174"/>
      <c r="F28" s="174"/>
      <c r="G28" s="174"/>
      <c r="H28" s="174"/>
      <c r="I28" s="174"/>
      <c r="J28" s="174"/>
      <c r="K28" s="175"/>
      <c r="L28" s="40"/>
      <c r="M28" s="75" t="s">
        <v>45</v>
      </c>
      <c r="N28" s="39"/>
      <c r="O28" s="47"/>
      <c r="P28" s="76"/>
    </row>
    <row r="29" spans="2:16" ht="29.25" customHeight="1">
      <c r="B29" s="31">
        <v>18</v>
      </c>
      <c r="C29" s="120" t="s">
        <v>858</v>
      </c>
      <c r="D29" s="174"/>
      <c r="E29" s="174"/>
      <c r="F29" s="174"/>
      <c r="G29" s="174"/>
      <c r="H29" s="174"/>
      <c r="I29" s="174"/>
      <c r="J29" s="174"/>
      <c r="K29" s="175"/>
      <c r="L29" s="40"/>
      <c r="M29" s="39" t="s">
        <v>45</v>
      </c>
      <c r="N29" s="39"/>
      <c r="O29" s="47"/>
      <c r="P29" s="48"/>
    </row>
    <row r="30" spans="2:16" ht="29.25" customHeight="1">
      <c r="B30" s="37">
        <v>19</v>
      </c>
      <c r="C30" s="120" t="s">
        <v>859</v>
      </c>
      <c r="D30" s="174"/>
      <c r="E30" s="174"/>
      <c r="F30" s="174"/>
      <c r="G30" s="174"/>
      <c r="H30" s="174"/>
      <c r="I30" s="174"/>
      <c r="J30" s="174"/>
      <c r="K30" s="175"/>
      <c r="L30" s="40"/>
      <c r="M30" s="39" t="s">
        <v>45</v>
      </c>
      <c r="N30" s="39"/>
      <c r="O30" s="47"/>
      <c r="P30" s="76"/>
    </row>
    <row r="31" spans="2:16" ht="28.5" customHeight="1">
      <c r="B31" s="31">
        <v>20</v>
      </c>
      <c r="C31" s="120" t="s">
        <v>860</v>
      </c>
      <c r="D31" s="174"/>
      <c r="E31" s="174"/>
      <c r="F31" s="174"/>
      <c r="G31" s="174"/>
      <c r="H31" s="174"/>
      <c r="I31" s="174"/>
      <c r="J31" s="174"/>
      <c r="K31" s="175"/>
      <c r="L31" s="40"/>
      <c r="M31" s="39" t="s">
        <v>45</v>
      </c>
      <c r="N31" s="39"/>
      <c r="O31" s="47"/>
      <c r="P31" s="76"/>
    </row>
    <row r="32" spans="2:16" ht="28.5" customHeight="1">
      <c r="B32" s="31">
        <v>21</v>
      </c>
      <c r="C32" s="120" t="s">
        <v>861</v>
      </c>
      <c r="D32" s="174"/>
      <c r="E32" s="174"/>
      <c r="F32" s="174"/>
      <c r="G32" s="174"/>
      <c r="H32" s="174"/>
      <c r="I32" s="174"/>
      <c r="J32" s="174"/>
      <c r="K32" s="175"/>
      <c r="L32" s="40"/>
      <c r="M32" s="39" t="s">
        <v>45</v>
      </c>
      <c r="N32" s="39"/>
      <c r="O32" s="47"/>
      <c r="P32" s="76"/>
    </row>
    <row r="33" spans="2:16" ht="27" customHeight="1">
      <c r="B33" s="37">
        <v>22</v>
      </c>
      <c r="C33" s="120" t="s">
        <v>862</v>
      </c>
      <c r="D33" s="174"/>
      <c r="E33" s="174"/>
      <c r="F33" s="174"/>
      <c r="G33" s="174"/>
      <c r="H33" s="174"/>
      <c r="I33" s="174"/>
      <c r="J33" s="174"/>
      <c r="K33" s="175"/>
      <c r="L33" s="40"/>
      <c r="M33" s="39" t="s">
        <v>45</v>
      </c>
      <c r="N33" s="39"/>
      <c r="O33" s="47"/>
      <c r="P33" s="76"/>
    </row>
    <row r="34" spans="2:16" ht="29.25" customHeight="1">
      <c r="B34" s="31">
        <v>23</v>
      </c>
      <c r="C34" s="120" t="s">
        <v>863</v>
      </c>
      <c r="D34" s="174"/>
      <c r="E34" s="174"/>
      <c r="F34" s="174"/>
      <c r="G34" s="174"/>
      <c r="H34" s="174"/>
      <c r="I34" s="174"/>
      <c r="J34" s="174"/>
      <c r="K34" s="175"/>
      <c r="L34" s="40"/>
      <c r="M34" s="39" t="s">
        <v>45</v>
      </c>
      <c r="N34" s="39"/>
      <c r="O34" s="47"/>
      <c r="P34" s="76"/>
    </row>
    <row r="35" spans="2:16" ht="29.25" customHeight="1">
      <c r="B35" s="31">
        <v>24</v>
      </c>
      <c r="C35" s="120" t="s">
        <v>864</v>
      </c>
      <c r="D35" s="174"/>
      <c r="E35" s="174"/>
      <c r="F35" s="174"/>
      <c r="G35" s="174"/>
      <c r="H35" s="174"/>
      <c r="I35" s="174"/>
      <c r="J35" s="174"/>
      <c r="K35" s="175"/>
      <c r="L35" s="40"/>
      <c r="M35" s="39" t="s">
        <v>45</v>
      </c>
      <c r="N35" s="39"/>
      <c r="O35" s="47"/>
      <c r="P35" s="76"/>
    </row>
    <row r="36" spans="2:16" ht="29.25" customHeight="1">
      <c r="B36" s="37">
        <v>25</v>
      </c>
      <c r="C36" s="120" t="s">
        <v>865</v>
      </c>
      <c r="D36" s="174"/>
      <c r="E36" s="174"/>
      <c r="F36" s="174"/>
      <c r="G36" s="174"/>
      <c r="H36" s="174"/>
      <c r="I36" s="174"/>
      <c r="J36" s="174"/>
      <c r="K36" s="175"/>
      <c r="L36" s="40"/>
      <c r="M36" s="39" t="s">
        <v>45</v>
      </c>
      <c r="N36" s="39"/>
      <c r="O36" s="47"/>
      <c r="P36" s="76"/>
    </row>
    <row r="37" spans="2:16" ht="29.25" customHeight="1">
      <c r="B37" s="37">
        <v>26</v>
      </c>
      <c r="C37" s="179" t="s">
        <v>955</v>
      </c>
      <c r="D37" s="174"/>
      <c r="E37" s="174"/>
      <c r="F37" s="174"/>
      <c r="G37" s="174"/>
      <c r="H37" s="174"/>
      <c r="I37" s="174"/>
      <c r="J37" s="174"/>
      <c r="K37" s="175"/>
      <c r="L37" s="40"/>
      <c r="M37" s="39" t="s">
        <v>45</v>
      </c>
      <c r="N37" s="39"/>
      <c r="O37" s="47"/>
      <c r="P37" s="76"/>
    </row>
    <row r="38" spans="2:16" ht="29.25" customHeight="1">
      <c r="B38" s="31">
        <v>27</v>
      </c>
      <c r="C38" s="126" t="s">
        <v>956</v>
      </c>
      <c r="D38" s="174"/>
      <c r="E38" s="174"/>
      <c r="F38" s="174"/>
      <c r="G38" s="174"/>
      <c r="H38" s="174"/>
      <c r="I38" s="174"/>
      <c r="J38" s="174"/>
      <c r="K38" s="175"/>
      <c r="L38" s="40"/>
      <c r="M38" s="39" t="s">
        <v>45</v>
      </c>
      <c r="N38" s="39"/>
      <c r="O38" s="47"/>
      <c r="P38" s="76"/>
    </row>
    <row r="39" spans="2:16" ht="29.25" customHeight="1">
      <c r="B39" s="31">
        <v>28</v>
      </c>
      <c r="C39" s="126" t="s">
        <v>957</v>
      </c>
      <c r="D39" s="174"/>
      <c r="E39" s="174"/>
      <c r="F39" s="174"/>
      <c r="G39" s="174"/>
      <c r="H39" s="174"/>
      <c r="I39" s="174"/>
      <c r="J39" s="174"/>
      <c r="K39" s="175"/>
      <c r="L39" s="40"/>
      <c r="M39" s="39" t="s">
        <v>45</v>
      </c>
      <c r="N39" s="39"/>
      <c r="O39" s="47"/>
      <c r="P39" s="76"/>
    </row>
    <row r="40" spans="2:16" ht="29.25" customHeight="1">
      <c r="B40" s="37">
        <v>29</v>
      </c>
      <c r="C40" s="126" t="s">
        <v>958</v>
      </c>
      <c r="D40" s="174"/>
      <c r="E40" s="174"/>
      <c r="F40" s="174"/>
      <c r="G40" s="174"/>
      <c r="H40" s="174"/>
      <c r="I40" s="174"/>
      <c r="J40" s="174"/>
      <c r="K40" s="175"/>
      <c r="L40" s="40"/>
      <c r="M40" s="39" t="s">
        <v>45</v>
      </c>
      <c r="N40" s="39"/>
      <c r="O40" s="47"/>
      <c r="P40" s="76"/>
    </row>
    <row r="41" spans="2:16" ht="29.25" customHeight="1">
      <c r="B41" s="31">
        <v>30</v>
      </c>
      <c r="C41" s="126" t="s">
        <v>959</v>
      </c>
      <c r="D41" s="174"/>
      <c r="E41" s="174"/>
      <c r="F41" s="174"/>
      <c r="G41" s="174"/>
      <c r="H41" s="174"/>
      <c r="I41" s="174"/>
      <c r="J41" s="174"/>
      <c r="K41" s="175"/>
      <c r="L41" s="40"/>
      <c r="M41" s="39" t="s">
        <v>45</v>
      </c>
      <c r="N41" s="39"/>
      <c r="O41" s="47"/>
      <c r="P41" s="76"/>
    </row>
    <row r="42" spans="2:16" ht="29.25" customHeight="1">
      <c r="B42" s="31">
        <v>31</v>
      </c>
      <c r="C42" s="126" t="s">
        <v>960</v>
      </c>
      <c r="D42" s="174"/>
      <c r="E42" s="174"/>
      <c r="F42" s="174"/>
      <c r="G42" s="174"/>
      <c r="H42" s="174"/>
      <c r="I42" s="174"/>
      <c r="J42" s="174"/>
      <c r="K42" s="175"/>
      <c r="L42" s="40"/>
      <c r="M42" s="39" t="s">
        <v>45</v>
      </c>
      <c r="N42" s="39"/>
      <c r="O42" s="47"/>
      <c r="P42" s="76"/>
    </row>
    <row r="43" spans="2:16" ht="29.25" customHeight="1">
      <c r="B43" s="37">
        <v>32</v>
      </c>
      <c r="C43" s="126" t="s">
        <v>961</v>
      </c>
      <c r="D43" s="174"/>
      <c r="E43" s="174"/>
      <c r="F43" s="174"/>
      <c r="G43" s="174"/>
      <c r="H43" s="174"/>
      <c r="I43" s="174"/>
      <c r="J43" s="174"/>
      <c r="K43" s="175"/>
      <c r="L43" s="40"/>
      <c r="M43" s="39" t="s">
        <v>45</v>
      </c>
      <c r="N43" s="39"/>
      <c r="O43" s="47"/>
      <c r="P43" s="76"/>
    </row>
    <row r="44" spans="2:16" ht="29.25" customHeight="1">
      <c r="B44" s="31">
        <v>33</v>
      </c>
      <c r="C44" s="126" t="s">
        <v>962</v>
      </c>
      <c r="D44" s="174"/>
      <c r="E44" s="174"/>
      <c r="F44" s="174"/>
      <c r="G44" s="174"/>
      <c r="H44" s="174"/>
      <c r="I44" s="174"/>
      <c r="J44" s="174"/>
      <c r="K44" s="175"/>
      <c r="L44" s="40"/>
      <c r="M44" s="39" t="s">
        <v>45</v>
      </c>
      <c r="N44" s="39"/>
      <c r="O44" s="47"/>
      <c r="P44" s="76"/>
    </row>
    <row r="45" spans="2:16" ht="29.25" customHeight="1">
      <c r="B45" s="31">
        <v>34</v>
      </c>
      <c r="C45" s="126" t="s">
        <v>963</v>
      </c>
      <c r="D45" s="174"/>
      <c r="E45" s="174"/>
      <c r="F45" s="174"/>
      <c r="G45" s="174"/>
      <c r="H45" s="174"/>
      <c r="I45" s="174"/>
      <c r="J45" s="174"/>
      <c r="K45" s="175"/>
      <c r="L45" s="40"/>
      <c r="M45" s="39" t="s">
        <v>45</v>
      </c>
      <c r="N45" s="39"/>
      <c r="O45" s="47"/>
      <c r="P45" s="76"/>
    </row>
    <row r="46" spans="2:16" ht="29.25" customHeight="1">
      <c r="B46" s="37">
        <v>35</v>
      </c>
      <c r="C46" s="126" t="s">
        <v>964</v>
      </c>
      <c r="D46" s="174"/>
      <c r="E46" s="174"/>
      <c r="F46" s="174"/>
      <c r="G46" s="174"/>
      <c r="H46" s="174"/>
      <c r="I46" s="174"/>
      <c r="J46" s="174"/>
      <c r="K46" s="175"/>
      <c r="L46" s="40"/>
      <c r="M46" s="39" t="s">
        <v>45</v>
      </c>
      <c r="N46" s="39"/>
      <c r="O46" s="47"/>
      <c r="P46" s="76"/>
    </row>
    <row r="47" spans="2:16" ht="29.25" customHeight="1">
      <c r="B47" s="31">
        <v>36</v>
      </c>
      <c r="C47" s="126" t="s">
        <v>965</v>
      </c>
      <c r="D47" s="174"/>
      <c r="E47" s="174"/>
      <c r="F47" s="174"/>
      <c r="G47" s="174"/>
      <c r="H47" s="174"/>
      <c r="I47" s="174"/>
      <c r="J47" s="174"/>
      <c r="K47" s="175"/>
      <c r="L47" s="40"/>
      <c r="M47" s="39" t="s">
        <v>45</v>
      </c>
      <c r="N47" s="39"/>
      <c r="O47" s="47"/>
      <c r="P47" s="76"/>
    </row>
    <row r="48" spans="2:16" ht="29.25" customHeight="1">
      <c r="B48" s="31">
        <v>37</v>
      </c>
      <c r="C48" s="126" t="s">
        <v>966</v>
      </c>
      <c r="D48" s="174"/>
      <c r="E48" s="174"/>
      <c r="F48" s="174"/>
      <c r="G48" s="174"/>
      <c r="H48" s="174"/>
      <c r="I48" s="174"/>
      <c r="J48" s="174"/>
      <c r="K48" s="175"/>
      <c r="L48" s="40"/>
      <c r="M48" s="39" t="s">
        <v>45</v>
      </c>
      <c r="N48" s="39"/>
      <c r="O48" s="47"/>
      <c r="P48" s="76"/>
    </row>
    <row r="49" spans="2:16" ht="29.25" customHeight="1">
      <c r="B49" s="37">
        <v>38</v>
      </c>
      <c r="C49" s="126" t="s">
        <v>967</v>
      </c>
      <c r="D49" s="174"/>
      <c r="E49" s="174"/>
      <c r="F49" s="174"/>
      <c r="G49" s="174"/>
      <c r="H49" s="174"/>
      <c r="I49" s="174"/>
      <c r="J49" s="174"/>
      <c r="K49" s="175"/>
      <c r="L49" s="40"/>
      <c r="M49" s="39" t="s">
        <v>45</v>
      </c>
      <c r="N49" s="39"/>
      <c r="O49" s="47"/>
      <c r="P49" s="76"/>
    </row>
    <row r="50" spans="2:16" ht="29.25" customHeight="1">
      <c r="B50" s="31">
        <v>39</v>
      </c>
      <c r="C50" s="126" t="s">
        <v>968</v>
      </c>
      <c r="D50" s="174"/>
      <c r="E50" s="174"/>
      <c r="F50" s="174"/>
      <c r="G50" s="174"/>
      <c r="H50" s="174"/>
      <c r="I50" s="174"/>
      <c r="J50" s="174"/>
      <c r="K50" s="175"/>
      <c r="L50" s="40"/>
      <c r="M50" s="39" t="s">
        <v>45</v>
      </c>
      <c r="N50" s="39"/>
      <c r="O50" s="47"/>
      <c r="P50" s="76"/>
    </row>
    <row r="51" spans="2:16" ht="29.25" customHeight="1">
      <c r="B51" s="31">
        <v>40</v>
      </c>
      <c r="C51" s="126" t="s">
        <v>969</v>
      </c>
      <c r="D51" s="174"/>
      <c r="E51" s="174"/>
      <c r="F51" s="174"/>
      <c r="G51" s="174"/>
      <c r="H51" s="174"/>
      <c r="I51" s="174"/>
      <c r="J51" s="174"/>
      <c r="K51" s="175"/>
      <c r="L51" s="40"/>
      <c r="M51" s="39" t="s">
        <v>45</v>
      </c>
      <c r="N51" s="39"/>
      <c r="O51" s="47"/>
      <c r="P51" s="76"/>
    </row>
    <row r="52" spans="2:16" ht="29.25" customHeight="1">
      <c r="B52" s="37">
        <v>41</v>
      </c>
      <c r="C52" s="126" t="s">
        <v>970</v>
      </c>
      <c r="D52" s="174"/>
      <c r="E52" s="174"/>
      <c r="F52" s="174"/>
      <c r="G52" s="174"/>
      <c r="H52" s="174"/>
      <c r="I52" s="174"/>
      <c r="J52" s="174"/>
      <c r="K52" s="175"/>
      <c r="L52" s="40"/>
      <c r="M52" s="39" t="s">
        <v>45</v>
      </c>
      <c r="N52" s="39"/>
      <c r="O52" s="47"/>
      <c r="P52" s="76"/>
    </row>
    <row r="53" spans="2:16" ht="29.25" customHeight="1">
      <c r="B53" s="31">
        <v>42</v>
      </c>
      <c r="C53" s="126" t="s">
        <v>971</v>
      </c>
      <c r="D53" s="174"/>
      <c r="E53" s="174"/>
      <c r="F53" s="174"/>
      <c r="G53" s="174"/>
      <c r="H53" s="174"/>
      <c r="I53" s="174"/>
      <c r="J53" s="174"/>
      <c r="K53" s="175"/>
      <c r="L53" s="40"/>
      <c r="M53" s="39" t="s">
        <v>45</v>
      </c>
      <c r="N53" s="39"/>
      <c r="O53" s="47"/>
      <c r="P53" s="76"/>
    </row>
    <row r="54" spans="2:16" ht="29.25" customHeight="1">
      <c r="B54" s="31">
        <v>43</v>
      </c>
      <c r="C54" s="126" t="s">
        <v>972</v>
      </c>
      <c r="D54" s="174"/>
      <c r="E54" s="174"/>
      <c r="F54" s="174"/>
      <c r="G54" s="174"/>
      <c r="H54" s="174"/>
      <c r="I54" s="174"/>
      <c r="J54" s="174"/>
      <c r="K54" s="175"/>
      <c r="L54" s="40"/>
      <c r="M54" s="39" t="s">
        <v>45</v>
      </c>
      <c r="N54" s="39"/>
      <c r="O54" s="47"/>
      <c r="P54" s="76"/>
    </row>
    <row r="55" spans="2:16" ht="29.25" customHeight="1">
      <c r="B55" s="37">
        <v>44</v>
      </c>
      <c r="C55" s="126" t="s">
        <v>973</v>
      </c>
      <c r="D55" s="174"/>
      <c r="E55" s="174"/>
      <c r="F55" s="174"/>
      <c r="G55" s="174"/>
      <c r="H55" s="174"/>
      <c r="I55" s="174"/>
      <c r="J55" s="174"/>
      <c r="K55" s="175"/>
      <c r="L55" s="40"/>
      <c r="M55" s="39" t="s">
        <v>45</v>
      </c>
      <c r="N55" s="39"/>
      <c r="O55" s="47"/>
      <c r="P55" s="76"/>
    </row>
    <row r="56" spans="2:16" ht="28.5" customHeight="1">
      <c r="B56" s="31">
        <v>45</v>
      </c>
      <c r="C56" s="126" t="s">
        <v>974</v>
      </c>
      <c r="D56" s="174"/>
      <c r="E56" s="174"/>
      <c r="F56" s="174"/>
      <c r="G56" s="174"/>
      <c r="H56" s="174"/>
      <c r="I56" s="174"/>
      <c r="J56" s="174"/>
      <c r="K56" s="175"/>
      <c r="L56" s="40"/>
      <c r="M56" s="39" t="s">
        <v>45</v>
      </c>
      <c r="N56" s="39"/>
      <c r="O56" s="47"/>
      <c r="P56" s="48"/>
    </row>
    <row r="57" spans="2:16" ht="28.5" customHeight="1">
      <c r="B57" s="31">
        <v>46</v>
      </c>
      <c r="C57" s="126" t="s">
        <v>975</v>
      </c>
      <c r="D57" s="174"/>
      <c r="E57" s="174"/>
      <c r="F57" s="174"/>
      <c r="G57" s="174"/>
      <c r="H57" s="174"/>
      <c r="I57" s="174"/>
      <c r="J57" s="174"/>
      <c r="K57" s="175"/>
      <c r="L57" s="40"/>
      <c r="M57" s="39" t="s">
        <v>45</v>
      </c>
      <c r="N57" s="39"/>
      <c r="O57" s="47"/>
      <c r="P57" s="76"/>
    </row>
    <row r="58" spans="2:16" ht="28.5" customHeight="1">
      <c r="B58" s="37">
        <v>47</v>
      </c>
      <c r="C58" s="126" t="s">
        <v>976</v>
      </c>
      <c r="D58" s="174"/>
      <c r="E58" s="174"/>
      <c r="F58" s="174"/>
      <c r="G58" s="174"/>
      <c r="H58" s="174"/>
      <c r="I58" s="174"/>
      <c r="J58" s="174"/>
      <c r="K58" s="175"/>
      <c r="L58" s="40"/>
      <c r="M58" s="39" t="s">
        <v>45</v>
      </c>
      <c r="N58" s="39"/>
      <c r="O58" s="47"/>
      <c r="P58" s="76"/>
    </row>
    <row r="59" spans="2:16" ht="28.5" customHeight="1">
      <c r="B59" s="31">
        <v>48</v>
      </c>
      <c r="C59" s="126" t="s">
        <v>977</v>
      </c>
      <c r="D59" s="174"/>
      <c r="E59" s="174"/>
      <c r="F59" s="174"/>
      <c r="G59" s="174"/>
      <c r="H59" s="174"/>
      <c r="I59" s="174"/>
      <c r="J59" s="174"/>
      <c r="K59" s="175"/>
      <c r="L59" s="40"/>
      <c r="M59" s="39" t="s">
        <v>45</v>
      </c>
      <c r="N59" s="39"/>
      <c r="O59" s="47"/>
      <c r="P59" s="76"/>
    </row>
    <row r="60" spans="2:16" ht="28.5" customHeight="1">
      <c r="B60" s="31">
        <v>49</v>
      </c>
      <c r="C60" s="126" t="s">
        <v>978</v>
      </c>
      <c r="D60" s="174"/>
      <c r="E60" s="174"/>
      <c r="F60" s="174"/>
      <c r="G60" s="174"/>
      <c r="H60" s="174"/>
      <c r="I60" s="174"/>
      <c r="J60" s="174"/>
      <c r="K60" s="175"/>
      <c r="L60" s="40"/>
      <c r="M60" s="39" t="s">
        <v>45</v>
      </c>
      <c r="N60" s="39"/>
      <c r="O60" s="47"/>
      <c r="P60" s="76"/>
    </row>
    <row r="61" spans="2:16" ht="29.25" customHeight="1">
      <c r="B61" s="37">
        <v>50</v>
      </c>
      <c r="C61" s="126" t="s">
        <v>979</v>
      </c>
      <c r="D61" s="174"/>
      <c r="E61" s="174"/>
      <c r="F61" s="174"/>
      <c r="G61" s="174"/>
      <c r="H61" s="174"/>
      <c r="I61" s="174"/>
      <c r="J61" s="174"/>
      <c r="K61" s="175"/>
      <c r="L61" s="40"/>
      <c r="M61" s="39" t="s">
        <v>45</v>
      </c>
      <c r="N61" s="39"/>
      <c r="O61" s="47"/>
      <c r="P61" s="48"/>
    </row>
    <row r="62" spans="2:16" ht="29.25" customHeight="1">
      <c r="B62" s="37">
        <v>51</v>
      </c>
      <c r="C62" s="126" t="s">
        <v>980</v>
      </c>
      <c r="D62" s="174"/>
      <c r="E62" s="174"/>
      <c r="F62" s="174"/>
      <c r="G62" s="174"/>
      <c r="H62" s="174"/>
      <c r="I62" s="174"/>
      <c r="J62" s="174"/>
      <c r="K62" s="175"/>
      <c r="L62" s="40"/>
      <c r="M62" s="39" t="s">
        <v>45</v>
      </c>
      <c r="N62" s="39"/>
      <c r="O62" s="47"/>
      <c r="P62" s="76"/>
    </row>
    <row r="63" spans="2:16" ht="29.25" customHeight="1">
      <c r="B63" s="31">
        <v>52</v>
      </c>
      <c r="C63" s="126" t="s">
        <v>981</v>
      </c>
      <c r="D63" s="174"/>
      <c r="E63" s="174"/>
      <c r="F63" s="174"/>
      <c r="G63" s="174"/>
      <c r="H63" s="174"/>
      <c r="I63" s="174"/>
      <c r="J63" s="174"/>
      <c r="K63" s="175"/>
      <c r="L63" s="40"/>
      <c r="M63" s="39" t="s">
        <v>45</v>
      </c>
      <c r="N63" s="39"/>
      <c r="O63" s="47"/>
      <c r="P63" s="76"/>
    </row>
    <row r="64" spans="2:16" ht="29.25" customHeight="1">
      <c r="B64" s="31">
        <v>53</v>
      </c>
      <c r="C64" s="126" t="s">
        <v>982</v>
      </c>
      <c r="D64" s="174"/>
      <c r="E64" s="174"/>
      <c r="F64" s="174"/>
      <c r="G64" s="174"/>
      <c r="H64" s="174"/>
      <c r="I64" s="174"/>
      <c r="J64" s="174"/>
      <c r="K64" s="175"/>
      <c r="L64" s="40"/>
      <c r="M64" s="39" t="s">
        <v>45</v>
      </c>
      <c r="N64" s="39"/>
      <c r="O64" s="47"/>
      <c r="P64" s="76"/>
    </row>
    <row r="65" spans="2:16" ht="29.25" customHeight="1">
      <c r="B65" s="37">
        <v>54</v>
      </c>
      <c r="C65" s="126" t="s">
        <v>983</v>
      </c>
      <c r="D65" s="174"/>
      <c r="E65" s="174"/>
      <c r="F65" s="174"/>
      <c r="G65" s="174"/>
      <c r="H65" s="174"/>
      <c r="I65" s="174"/>
      <c r="J65" s="174"/>
      <c r="K65" s="175"/>
      <c r="L65" s="40"/>
      <c r="M65" s="39" t="s">
        <v>45</v>
      </c>
      <c r="N65" s="39"/>
      <c r="O65" s="47"/>
      <c r="P65" s="76"/>
    </row>
    <row r="66" spans="2:16" ht="29.25" customHeight="1">
      <c r="B66" s="31">
        <v>55</v>
      </c>
      <c r="C66" s="126" t="s">
        <v>984</v>
      </c>
      <c r="D66" s="174"/>
      <c r="E66" s="174"/>
      <c r="F66" s="174"/>
      <c r="G66" s="174"/>
      <c r="H66" s="174"/>
      <c r="I66" s="174"/>
      <c r="J66" s="174"/>
      <c r="K66" s="175"/>
      <c r="L66" s="40"/>
      <c r="M66" s="39" t="s">
        <v>45</v>
      </c>
      <c r="N66" s="39"/>
      <c r="O66" s="47"/>
      <c r="P66" s="76"/>
    </row>
    <row r="67" spans="2:16" ht="29.25" customHeight="1">
      <c r="B67" s="31">
        <v>56</v>
      </c>
      <c r="C67" s="126" t="s">
        <v>985</v>
      </c>
      <c r="D67" s="174"/>
      <c r="E67" s="174"/>
      <c r="F67" s="174"/>
      <c r="G67" s="174"/>
      <c r="H67" s="174"/>
      <c r="I67" s="174"/>
      <c r="J67" s="174"/>
      <c r="K67" s="175"/>
      <c r="L67" s="40"/>
      <c r="M67" s="39" t="s">
        <v>45</v>
      </c>
      <c r="N67" s="39"/>
      <c r="O67" s="47"/>
      <c r="P67" s="76"/>
    </row>
    <row r="68" spans="2:16" ht="29.25" customHeight="1">
      <c r="B68" s="37">
        <v>57</v>
      </c>
      <c r="C68" s="126" t="s">
        <v>986</v>
      </c>
      <c r="D68" s="174"/>
      <c r="E68" s="174"/>
      <c r="F68" s="174"/>
      <c r="G68" s="174"/>
      <c r="H68" s="174"/>
      <c r="I68" s="174"/>
      <c r="J68" s="174"/>
      <c r="K68" s="175"/>
      <c r="L68" s="40"/>
      <c r="M68" s="39" t="s">
        <v>45</v>
      </c>
      <c r="N68" s="39"/>
      <c r="O68" s="47"/>
      <c r="P68" s="76"/>
    </row>
    <row r="69" spans="2:16" ht="29.25" customHeight="1">
      <c r="B69" s="31">
        <v>58</v>
      </c>
      <c r="C69" s="126" t="s">
        <v>987</v>
      </c>
      <c r="D69" s="174"/>
      <c r="E69" s="174"/>
      <c r="F69" s="174"/>
      <c r="G69" s="174"/>
      <c r="H69" s="174"/>
      <c r="I69" s="174"/>
      <c r="J69" s="174"/>
      <c r="K69" s="175"/>
      <c r="L69" s="40"/>
      <c r="M69" s="39" t="s">
        <v>45</v>
      </c>
      <c r="N69" s="39"/>
      <c r="O69" s="47"/>
      <c r="P69" s="76"/>
    </row>
    <row r="70" spans="2:16" ht="29.25" customHeight="1">
      <c r="B70" s="31">
        <v>59</v>
      </c>
      <c r="C70" s="126" t="s">
        <v>988</v>
      </c>
      <c r="D70" s="174"/>
      <c r="E70" s="174"/>
      <c r="F70" s="174"/>
      <c r="G70" s="174"/>
      <c r="H70" s="174"/>
      <c r="I70" s="174"/>
      <c r="J70" s="174"/>
      <c r="K70" s="175"/>
      <c r="L70" s="40"/>
      <c r="M70" s="39" t="s">
        <v>45</v>
      </c>
      <c r="N70" s="39"/>
      <c r="O70" s="47"/>
      <c r="P70" s="76"/>
    </row>
    <row r="71" spans="2:16" ht="30" customHeight="1">
      <c r="B71" s="37">
        <v>60</v>
      </c>
      <c r="C71" s="126" t="s">
        <v>989</v>
      </c>
      <c r="D71" s="174"/>
      <c r="E71" s="174"/>
      <c r="F71" s="174"/>
      <c r="G71" s="174"/>
      <c r="H71" s="174"/>
      <c r="I71" s="174"/>
      <c r="J71" s="174"/>
      <c r="K71" s="175"/>
      <c r="L71" s="40"/>
      <c r="M71" s="39" t="s">
        <v>45</v>
      </c>
      <c r="N71" s="39"/>
      <c r="O71" s="47"/>
      <c r="P71" s="48"/>
    </row>
    <row r="72" spans="2:16" ht="28.5" customHeight="1">
      <c r="B72" s="31">
        <v>61</v>
      </c>
      <c r="C72" s="126" t="s">
        <v>990</v>
      </c>
      <c r="D72" s="174"/>
      <c r="E72" s="174"/>
      <c r="F72" s="174"/>
      <c r="G72" s="174"/>
      <c r="H72" s="174"/>
      <c r="I72" s="174"/>
      <c r="J72" s="174"/>
      <c r="K72" s="175"/>
      <c r="L72" s="40"/>
      <c r="M72" s="39" t="s">
        <v>45</v>
      </c>
      <c r="N72" s="39"/>
      <c r="O72" s="47"/>
      <c r="P72" s="48"/>
    </row>
    <row r="73" spans="2:16" ht="28.5" customHeight="1">
      <c r="B73" s="31">
        <v>62</v>
      </c>
      <c r="C73" s="126" t="s">
        <v>994</v>
      </c>
      <c r="D73" s="174"/>
      <c r="E73" s="174"/>
      <c r="F73" s="174"/>
      <c r="G73" s="174"/>
      <c r="H73" s="174"/>
      <c r="I73" s="174"/>
      <c r="J73" s="174"/>
      <c r="K73" s="175"/>
      <c r="L73" s="40"/>
      <c r="M73" s="39" t="s">
        <v>45</v>
      </c>
      <c r="N73" s="39"/>
      <c r="O73" s="47"/>
      <c r="P73" s="76"/>
    </row>
    <row r="74" spans="2:16" ht="28.5" customHeight="1">
      <c r="B74" s="37">
        <v>63</v>
      </c>
      <c r="C74" s="126" t="s">
        <v>995</v>
      </c>
      <c r="D74" s="174"/>
      <c r="E74" s="174"/>
      <c r="F74" s="174"/>
      <c r="G74" s="174"/>
      <c r="H74" s="174"/>
      <c r="I74" s="174"/>
      <c r="J74" s="174"/>
      <c r="K74" s="175"/>
      <c r="L74" s="40"/>
      <c r="M74" s="39" t="s">
        <v>45</v>
      </c>
      <c r="N74" s="39"/>
      <c r="O74" s="47"/>
      <c r="P74" s="76"/>
    </row>
    <row r="75" spans="2:16" ht="28.5" customHeight="1">
      <c r="B75" s="31">
        <v>64</v>
      </c>
      <c r="C75" s="126" t="s">
        <v>996</v>
      </c>
      <c r="D75" s="174"/>
      <c r="E75" s="174"/>
      <c r="F75" s="174"/>
      <c r="G75" s="174"/>
      <c r="H75" s="174"/>
      <c r="I75" s="174"/>
      <c r="J75" s="174"/>
      <c r="K75" s="175"/>
      <c r="L75" s="40"/>
      <c r="M75" s="39" t="s">
        <v>45</v>
      </c>
      <c r="N75" s="39"/>
      <c r="O75" s="47"/>
      <c r="P75" s="76"/>
    </row>
    <row r="76" spans="2:16" ht="28.5" customHeight="1">
      <c r="B76" s="31">
        <v>65</v>
      </c>
      <c r="C76" s="126" t="s">
        <v>997</v>
      </c>
      <c r="D76" s="174"/>
      <c r="E76" s="174"/>
      <c r="F76" s="174"/>
      <c r="G76" s="174"/>
      <c r="H76" s="174"/>
      <c r="I76" s="174"/>
      <c r="J76" s="174"/>
      <c r="K76" s="175"/>
      <c r="L76" s="40"/>
      <c r="M76" s="39" t="s">
        <v>45</v>
      </c>
      <c r="N76" s="39"/>
      <c r="O76" s="47"/>
      <c r="P76" s="76"/>
    </row>
    <row r="77" spans="2:16" ht="28.5" customHeight="1">
      <c r="B77" s="37">
        <v>66</v>
      </c>
      <c r="C77" s="126" t="s">
        <v>998</v>
      </c>
      <c r="D77" s="174"/>
      <c r="E77" s="174"/>
      <c r="F77" s="174"/>
      <c r="G77" s="174"/>
      <c r="H77" s="174"/>
      <c r="I77" s="174"/>
      <c r="J77" s="174"/>
      <c r="K77" s="175"/>
      <c r="L77" s="40"/>
      <c r="M77" s="39" t="s">
        <v>45</v>
      </c>
      <c r="N77" s="39"/>
      <c r="O77" s="47"/>
      <c r="P77" s="76"/>
    </row>
    <row r="78" spans="2:16" ht="28.5" customHeight="1">
      <c r="B78" s="31">
        <v>67</v>
      </c>
      <c r="C78" s="126" t="s">
        <v>999</v>
      </c>
      <c r="D78" s="174"/>
      <c r="E78" s="174"/>
      <c r="F78" s="174"/>
      <c r="G78" s="174"/>
      <c r="H78" s="174"/>
      <c r="I78" s="174"/>
      <c r="J78" s="174"/>
      <c r="K78" s="175"/>
      <c r="L78" s="40"/>
      <c r="M78" s="39" t="s">
        <v>45</v>
      </c>
      <c r="N78" s="39"/>
      <c r="O78" s="47"/>
      <c r="P78" s="76"/>
    </row>
    <row r="79" spans="2:16" ht="28.5" customHeight="1">
      <c r="B79" s="31">
        <v>68</v>
      </c>
      <c r="C79" s="126" t="s">
        <v>1000</v>
      </c>
      <c r="D79" s="174"/>
      <c r="E79" s="174"/>
      <c r="F79" s="174"/>
      <c r="G79" s="174"/>
      <c r="H79" s="174"/>
      <c r="I79" s="174"/>
      <c r="J79" s="174"/>
      <c r="K79" s="175"/>
      <c r="L79" s="40"/>
      <c r="M79" s="39" t="s">
        <v>45</v>
      </c>
      <c r="N79" s="39"/>
      <c r="O79" s="47"/>
      <c r="P79" s="76"/>
    </row>
    <row r="80" spans="2:16" ht="28.5" customHeight="1">
      <c r="B80" s="37">
        <v>69</v>
      </c>
      <c r="C80" s="126" t="s">
        <v>1001</v>
      </c>
      <c r="D80" s="174"/>
      <c r="E80" s="174"/>
      <c r="F80" s="174"/>
      <c r="G80" s="174"/>
      <c r="H80" s="174"/>
      <c r="I80" s="174"/>
      <c r="J80" s="174"/>
      <c r="K80" s="175"/>
      <c r="L80" s="40"/>
      <c r="M80" s="39" t="s">
        <v>45</v>
      </c>
      <c r="N80" s="39"/>
      <c r="O80" s="47"/>
      <c r="P80" s="76"/>
    </row>
    <row r="81" spans="2:26" ht="28.5" customHeight="1">
      <c r="B81" s="31">
        <v>70</v>
      </c>
      <c r="C81" s="126" t="s">
        <v>1002</v>
      </c>
      <c r="D81" s="174"/>
      <c r="E81" s="174"/>
      <c r="F81" s="174"/>
      <c r="G81" s="174"/>
      <c r="H81" s="174"/>
      <c r="I81" s="174"/>
      <c r="J81" s="174"/>
      <c r="K81" s="175"/>
      <c r="L81" s="40"/>
      <c r="M81" s="39" t="s">
        <v>45</v>
      </c>
      <c r="N81" s="39"/>
      <c r="O81" s="47"/>
      <c r="P81" s="76"/>
    </row>
    <row r="82" spans="2:26" ht="28.5" customHeight="1">
      <c r="B82" s="31">
        <v>71</v>
      </c>
      <c r="C82" s="126" t="s">
        <v>1003</v>
      </c>
      <c r="D82" s="174"/>
      <c r="E82" s="174"/>
      <c r="F82" s="174"/>
      <c r="G82" s="174"/>
      <c r="H82" s="174"/>
      <c r="I82" s="174"/>
      <c r="J82" s="174"/>
      <c r="K82" s="175"/>
      <c r="L82" s="40"/>
      <c r="M82" s="39" t="s">
        <v>45</v>
      </c>
      <c r="N82" s="39"/>
      <c r="O82" s="47"/>
      <c r="P82" s="76"/>
    </row>
    <row r="83" spans="2:26" ht="28.5" customHeight="1">
      <c r="B83" s="37">
        <v>72</v>
      </c>
      <c r="C83" s="126" t="s">
        <v>1004</v>
      </c>
      <c r="D83" s="174"/>
      <c r="E83" s="174"/>
      <c r="F83" s="174"/>
      <c r="G83" s="174"/>
      <c r="H83" s="174"/>
      <c r="I83" s="174"/>
      <c r="J83" s="174"/>
      <c r="K83" s="175"/>
      <c r="L83" s="40"/>
      <c r="M83" s="39" t="s">
        <v>45</v>
      </c>
      <c r="N83" s="39"/>
      <c r="O83" s="47"/>
      <c r="P83" s="76"/>
    </row>
    <row r="84" spans="2:26" ht="28.5" customHeight="1">
      <c r="B84" s="31">
        <v>73</v>
      </c>
      <c r="C84" s="126" t="s">
        <v>1005</v>
      </c>
      <c r="D84" s="174"/>
      <c r="E84" s="174"/>
      <c r="F84" s="174"/>
      <c r="G84" s="174"/>
      <c r="H84" s="174"/>
      <c r="I84" s="174"/>
      <c r="J84" s="174"/>
      <c r="K84" s="175"/>
      <c r="L84" s="40"/>
      <c r="M84" s="39" t="s">
        <v>45</v>
      </c>
      <c r="N84" s="39"/>
      <c r="O84" s="47"/>
      <c r="P84" s="76"/>
    </row>
    <row r="85" spans="2:26" ht="28.5" customHeight="1">
      <c r="B85" s="31">
        <v>74</v>
      </c>
      <c r="C85" s="126" t="s">
        <v>1006</v>
      </c>
      <c r="D85" s="174"/>
      <c r="E85" s="174"/>
      <c r="F85" s="174"/>
      <c r="G85" s="174"/>
      <c r="H85" s="174"/>
      <c r="I85" s="174"/>
      <c r="J85" s="174"/>
      <c r="K85" s="175"/>
      <c r="L85" s="40"/>
      <c r="M85" s="39" t="s">
        <v>45</v>
      </c>
      <c r="N85" s="39"/>
      <c r="O85" s="47"/>
      <c r="P85" s="76"/>
    </row>
    <row r="86" spans="2:26" ht="27" customHeight="1">
      <c r="B86" s="37">
        <v>75</v>
      </c>
      <c r="C86" s="176" t="s">
        <v>1007</v>
      </c>
      <c r="D86" s="177"/>
      <c r="E86" s="177"/>
      <c r="F86" s="177"/>
      <c r="G86" s="177"/>
      <c r="H86" s="177"/>
      <c r="I86" s="177"/>
      <c r="J86" s="177"/>
      <c r="K86" s="178"/>
      <c r="L86" s="40"/>
      <c r="M86" s="39"/>
      <c r="N86" s="39"/>
      <c r="O86" s="47"/>
      <c r="P86" s="48"/>
    </row>
    <row r="87" spans="2:26" ht="30" customHeight="1">
      <c r="B87" s="31">
        <v>76</v>
      </c>
      <c r="C87" s="120" t="s">
        <v>143</v>
      </c>
      <c r="D87" s="174"/>
      <c r="E87" s="174"/>
      <c r="F87" s="174"/>
      <c r="G87" s="174"/>
      <c r="H87" s="174"/>
      <c r="I87" s="174"/>
      <c r="J87" s="174"/>
      <c r="K87" s="175"/>
      <c r="L87" s="40"/>
      <c r="M87" s="39" t="s">
        <v>45</v>
      </c>
      <c r="N87" s="39"/>
      <c r="O87" s="47"/>
      <c r="P87" s="48"/>
    </row>
    <row r="88" spans="2:26" ht="27.75" customHeight="1">
      <c r="B88" s="31">
        <v>77</v>
      </c>
      <c r="C88" s="120" t="s">
        <v>144</v>
      </c>
      <c r="D88" s="174"/>
      <c r="E88" s="174"/>
      <c r="F88" s="174"/>
      <c r="G88" s="174"/>
      <c r="H88" s="174"/>
      <c r="I88" s="174"/>
      <c r="J88" s="174"/>
      <c r="K88" s="175"/>
      <c r="L88" s="40"/>
      <c r="M88" s="39" t="s">
        <v>45</v>
      </c>
      <c r="N88" s="39"/>
      <c r="O88" s="47"/>
      <c r="P88" s="48"/>
      <c r="R88" s="43"/>
    </row>
    <row r="89" spans="2:26" ht="27.75" customHeight="1">
      <c r="B89" s="37">
        <v>78</v>
      </c>
      <c r="C89" s="120" t="s">
        <v>145</v>
      </c>
      <c r="D89" s="174"/>
      <c r="E89" s="174"/>
      <c r="F89" s="174"/>
      <c r="G89" s="174"/>
      <c r="H89" s="174"/>
      <c r="I89" s="174"/>
      <c r="J89" s="174"/>
      <c r="K89" s="175"/>
      <c r="L89" s="40"/>
      <c r="M89" s="39" t="s">
        <v>45</v>
      </c>
      <c r="N89" s="39"/>
      <c r="O89" s="47"/>
      <c r="P89" s="48"/>
    </row>
    <row r="90" spans="2:26" ht="28.5" customHeight="1">
      <c r="B90" s="31">
        <v>79</v>
      </c>
      <c r="C90" s="120" t="s">
        <v>146</v>
      </c>
      <c r="D90" s="174"/>
      <c r="E90" s="174"/>
      <c r="F90" s="174"/>
      <c r="G90" s="174"/>
      <c r="H90" s="174"/>
      <c r="I90" s="174"/>
      <c r="J90" s="174"/>
      <c r="K90" s="175"/>
      <c r="L90" s="40"/>
      <c r="M90" s="39" t="s">
        <v>45</v>
      </c>
      <c r="N90" s="39"/>
      <c r="O90" s="47"/>
      <c r="P90" s="48"/>
    </row>
    <row r="91" spans="2:26" ht="28.5" customHeight="1">
      <c r="B91" s="31">
        <v>80</v>
      </c>
      <c r="C91" s="120" t="s">
        <v>147</v>
      </c>
      <c r="D91" s="174"/>
      <c r="E91" s="174"/>
      <c r="F91" s="174"/>
      <c r="G91" s="174"/>
      <c r="H91" s="174"/>
      <c r="I91" s="174"/>
      <c r="J91" s="174"/>
      <c r="K91" s="175"/>
      <c r="L91" s="40"/>
      <c r="M91" s="39" t="s">
        <v>45</v>
      </c>
      <c r="N91" s="39"/>
      <c r="O91" s="47"/>
      <c r="P91" s="48"/>
    </row>
    <row r="92" spans="2:26" ht="29.25" customHeight="1">
      <c r="B92" s="37">
        <v>81</v>
      </c>
      <c r="C92" s="120" t="s">
        <v>148</v>
      </c>
      <c r="D92" s="174"/>
      <c r="E92" s="174"/>
      <c r="F92" s="174"/>
      <c r="G92" s="174"/>
      <c r="H92" s="174"/>
      <c r="I92" s="174"/>
      <c r="J92" s="174"/>
      <c r="K92" s="175"/>
      <c r="L92" s="40"/>
      <c r="M92" s="39" t="s">
        <v>45</v>
      </c>
      <c r="N92" s="39"/>
      <c r="O92" s="47"/>
      <c r="P92" s="48"/>
    </row>
    <row r="93" spans="2:26" ht="27.75" customHeight="1">
      <c r="B93" s="31">
        <v>82</v>
      </c>
      <c r="C93" s="120" t="s">
        <v>149</v>
      </c>
      <c r="D93" s="174"/>
      <c r="E93" s="174"/>
      <c r="F93" s="174"/>
      <c r="G93" s="174"/>
      <c r="H93" s="174"/>
      <c r="I93" s="174"/>
      <c r="J93" s="174"/>
      <c r="K93" s="175"/>
      <c r="L93" s="40"/>
      <c r="M93" s="39" t="s">
        <v>45</v>
      </c>
      <c r="N93" s="39"/>
      <c r="O93" s="47"/>
      <c r="P93" s="48"/>
    </row>
    <row r="94" spans="2:26" ht="29.25" customHeight="1">
      <c r="B94" s="31">
        <v>83</v>
      </c>
      <c r="C94" s="120" t="s">
        <v>150</v>
      </c>
      <c r="D94" s="174"/>
      <c r="E94" s="174"/>
      <c r="F94" s="174"/>
      <c r="G94" s="174"/>
      <c r="H94" s="174"/>
      <c r="I94" s="174"/>
      <c r="J94" s="174"/>
      <c r="K94" s="175"/>
      <c r="L94" s="40"/>
      <c r="M94" s="39"/>
      <c r="N94" s="39" t="s">
        <v>45</v>
      </c>
      <c r="O94" s="47"/>
      <c r="P94" s="48"/>
    </row>
    <row r="95" spans="2:26" ht="29.25" customHeight="1">
      <c r="B95" s="37">
        <v>84</v>
      </c>
      <c r="C95" s="120" t="s">
        <v>151</v>
      </c>
      <c r="D95" s="174"/>
      <c r="E95" s="174"/>
      <c r="F95" s="174"/>
      <c r="G95" s="174"/>
      <c r="H95" s="174"/>
      <c r="I95" s="174"/>
      <c r="J95" s="174"/>
      <c r="K95" s="175"/>
      <c r="L95" s="40"/>
      <c r="M95" s="39" t="s">
        <v>45</v>
      </c>
      <c r="N95" s="39"/>
      <c r="O95" s="47"/>
      <c r="P95" s="48"/>
      <c r="R95" s="50"/>
      <c r="S95" s="50"/>
      <c r="T95" s="50"/>
      <c r="U95" s="50"/>
      <c r="V95" s="50"/>
      <c r="W95" s="50"/>
      <c r="X95" s="50"/>
      <c r="Y95" s="50"/>
      <c r="Z95" s="50"/>
    </row>
    <row r="96" spans="2:26" ht="29.25" customHeight="1">
      <c r="B96" s="31">
        <v>85</v>
      </c>
      <c r="C96" s="120" t="s">
        <v>152</v>
      </c>
      <c r="D96" s="174"/>
      <c r="E96" s="174"/>
      <c r="F96" s="174"/>
      <c r="G96" s="174"/>
      <c r="H96" s="174"/>
      <c r="I96" s="174"/>
      <c r="J96" s="174"/>
      <c r="K96" s="175"/>
      <c r="L96" s="40"/>
      <c r="M96" s="39"/>
      <c r="N96" s="39" t="s">
        <v>45</v>
      </c>
      <c r="O96" s="47"/>
      <c r="P96" s="48"/>
    </row>
    <row r="97" spans="2:16" ht="28.5" customHeight="1">
      <c r="B97" s="31">
        <v>86</v>
      </c>
      <c r="C97" s="120" t="s">
        <v>153</v>
      </c>
      <c r="D97" s="174"/>
      <c r="E97" s="174"/>
      <c r="F97" s="174"/>
      <c r="G97" s="174"/>
      <c r="H97" s="174"/>
      <c r="I97" s="174"/>
      <c r="J97" s="174"/>
      <c r="K97" s="175"/>
      <c r="L97" s="40"/>
      <c r="M97" s="75" t="s">
        <v>45</v>
      </c>
      <c r="N97" s="39"/>
      <c r="O97" s="47"/>
      <c r="P97" s="48"/>
    </row>
    <row r="98" spans="2:16" ht="28.5" customHeight="1">
      <c r="B98" s="37">
        <v>87</v>
      </c>
      <c r="C98" s="120" t="s">
        <v>154</v>
      </c>
      <c r="D98" s="174"/>
      <c r="E98" s="174"/>
      <c r="F98" s="174"/>
      <c r="G98" s="174"/>
      <c r="H98" s="174"/>
      <c r="I98" s="174"/>
      <c r="J98" s="174"/>
      <c r="K98" s="175"/>
      <c r="L98" s="40"/>
      <c r="M98" s="39" t="s">
        <v>45</v>
      </c>
      <c r="N98" s="39"/>
      <c r="O98" s="47"/>
      <c r="P98" s="48"/>
    </row>
    <row r="99" spans="2:16" ht="27.75" customHeight="1">
      <c r="B99" s="31">
        <v>88</v>
      </c>
      <c r="C99" s="120" t="s">
        <v>155</v>
      </c>
      <c r="D99" s="174"/>
      <c r="E99" s="174"/>
      <c r="F99" s="174"/>
      <c r="G99" s="174"/>
      <c r="H99" s="174"/>
      <c r="I99" s="174"/>
      <c r="J99" s="174"/>
      <c r="K99" s="175"/>
      <c r="L99" s="40"/>
      <c r="M99" s="39" t="s">
        <v>45</v>
      </c>
      <c r="N99" s="39"/>
      <c r="O99" s="47"/>
      <c r="P99" s="48"/>
    </row>
    <row r="100" spans="2:16" ht="28.5" customHeight="1">
      <c r="B100" s="31">
        <v>89</v>
      </c>
      <c r="C100" s="120" t="s">
        <v>156</v>
      </c>
      <c r="D100" s="174"/>
      <c r="E100" s="174"/>
      <c r="F100" s="174"/>
      <c r="G100" s="174"/>
      <c r="H100" s="174"/>
      <c r="I100" s="174"/>
      <c r="J100" s="174"/>
      <c r="K100" s="175"/>
      <c r="L100" s="40"/>
      <c r="M100" s="39" t="s">
        <v>45</v>
      </c>
      <c r="N100" s="39"/>
      <c r="O100" s="47"/>
      <c r="P100" s="48"/>
    </row>
    <row r="101" spans="2:16" ht="14.25" customHeight="1">
      <c r="B101" s="25"/>
      <c r="C101" s="68"/>
      <c r="D101" s="68"/>
      <c r="E101" s="68"/>
      <c r="F101" s="68"/>
      <c r="G101" s="68"/>
      <c r="H101" s="68"/>
      <c r="I101" s="68"/>
      <c r="J101" s="68"/>
      <c r="K101" s="68"/>
    </row>
    <row r="102" spans="2:16" ht="14.25" customHeight="1">
      <c r="B102" s="25"/>
      <c r="C102" s="68"/>
      <c r="D102" s="68"/>
      <c r="E102" s="68"/>
      <c r="F102" s="68"/>
      <c r="G102" s="68"/>
      <c r="H102" s="68"/>
      <c r="I102" s="68"/>
      <c r="J102" s="68"/>
      <c r="K102" s="68"/>
    </row>
    <row r="103" spans="2:16" ht="14.25" customHeight="1">
      <c r="B103" s="25"/>
      <c r="C103" s="68"/>
      <c r="D103" s="68"/>
      <c r="E103" s="68"/>
      <c r="F103" s="68"/>
      <c r="G103" s="68"/>
      <c r="H103" s="68"/>
      <c r="I103" s="68"/>
      <c r="J103" s="68"/>
      <c r="K103" s="68"/>
    </row>
    <row r="104" spans="2:16" ht="14.25" customHeight="1">
      <c r="B104" s="25"/>
      <c r="C104" s="68"/>
      <c r="D104" s="68"/>
      <c r="E104" s="68"/>
      <c r="F104" s="68"/>
      <c r="G104" s="68"/>
      <c r="H104" s="68"/>
      <c r="I104" s="68"/>
      <c r="J104" s="68"/>
      <c r="K104" s="68"/>
    </row>
    <row r="105" spans="2:16" ht="14.25" customHeight="1">
      <c r="B105" s="25"/>
      <c r="C105" s="68"/>
      <c r="D105" s="68"/>
      <c r="E105" s="68"/>
      <c r="F105" s="68"/>
      <c r="G105" s="68"/>
      <c r="H105" s="68"/>
      <c r="I105" s="68"/>
      <c r="J105" s="68"/>
      <c r="K105" s="68"/>
    </row>
    <row r="106" spans="2:16" ht="14.25" customHeight="1">
      <c r="B106" s="25"/>
      <c r="C106" s="68"/>
      <c r="D106" s="68"/>
      <c r="E106" s="68"/>
      <c r="F106" s="68"/>
      <c r="G106" s="68"/>
      <c r="H106" s="68"/>
      <c r="I106" s="68"/>
      <c r="J106" s="68"/>
      <c r="K106" s="68"/>
    </row>
    <row r="107" spans="2:16" ht="14.25" customHeight="1">
      <c r="B107" s="25"/>
      <c r="C107" s="68"/>
      <c r="D107" s="68"/>
      <c r="E107" s="68"/>
      <c r="F107" s="68"/>
      <c r="G107" s="68"/>
      <c r="H107" s="68"/>
      <c r="I107" s="68"/>
      <c r="J107" s="68"/>
      <c r="K107" s="68"/>
    </row>
    <row r="108" spans="2:16" ht="14.25" customHeight="1">
      <c r="B108" s="25"/>
      <c r="C108" s="68"/>
      <c r="D108" s="68"/>
      <c r="E108" s="68"/>
      <c r="F108" s="68"/>
      <c r="G108" s="68"/>
      <c r="H108" s="68"/>
      <c r="I108" s="68"/>
      <c r="J108" s="68"/>
      <c r="K108" s="68"/>
    </row>
    <row r="109" spans="2:16" ht="14.25" customHeight="1">
      <c r="B109" s="25"/>
      <c r="C109" s="68"/>
      <c r="D109" s="68"/>
      <c r="E109" s="68"/>
      <c r="F109" s="68"/>
      <c r="G109" s="68"/>
      <c r="H109" s="68"/>
      <c r="I109" s="68"/>
      <c r="J109" s="68"/>
      <c r="K109" s="68"/>
    </row>
    <row r="110" spans="2:16" ht="14.25" customHeight="1">
      <c r="B110" s="25"/>
      <c r="C110" s="68"/>
      <c r="D110" s="68"/>
      <c r="E110" s="68"/>
      <c r="F110" s="68"/>
      <c r="G110" s="68"/>
      <c r="H110" s="68"/>
      <c r="I110" s="68"/>
      <c r="J110" s="68"/>
      <c r="K110" s="68"/>
    </row>
    <row r="111" spans="2:16" ht="14.25" customHeight="1">
      <c r="B111" s="25"/>
      <c r="C111" s="68"/>
      <c r="D111" s="68"/>
      <c r="E111" s="68"/>
      <c r="F111" s="68"/>
      <c r="G111" s="68"/>
      <c r="H111" s="68"/>
      <c r="I111" s="68"/>
      <c r="J111" s="68"/>
      <c r="K111" s="68"/>
    </row>
    <row r="112" spans="2:16" ht="14.25" customHeight="1">
      <c r="B112" s="25"/>
      <c r="C112" s="68"/>
      <c r="D112" s="68"/>
      <c r="E112" s="68"/>
      <c r="F112" s="68"/>
      <c r="G112" s="68"/>
      <c r="H112" s="68"/>
      <c r="I112" s="68"/>
      <c r="J112" s="68"/>
      <c r="K112" s="68"/>
    </row>
    <row r="113" spans="2:11" ht="14.25" customHeight="1">
      <c r="B113" s="25"/>
      <c r="C113" s="68"/>
      <c r="D113" s="68"/>
      <c r="E113" s="68"/>
      <c r="F113" s="68"/>
      <c r="G113" s="68"/>
      <c r="H113" s="68"/>
      <c r="I113" s="68"/>
      <c r="J113" s="68"/>
      <c r="K113" s="68"/>
    </row>
    <row r="114" spans="2:11" ht="14.25" customHeight="1">
      <c r="B114" s="25"/>
      <c r="C114" s="68"/>
      <c r="D114" s="68"/>
      <c r="E114" s="68"/>
      <c r="F114" s="68"/>
      <c r="G114" s="68"/>
      <c r="H114" s="68"/>
      <c r="I114" s="68"/>
      <c r="J114" s="68"/>
      <c r="K114" s="68"/>
    </row>
    <row r="115" spans="2:11" ht="14.25" customHeight="1">
      <c r="B115" s="25"/>
      <c r="C115" s="68"/>
      <c r="D115" s="68"/>
      <c r="E115" s="68"/>
      <c r="F115" s="68"/>
      <c r="G115" s="68"/>
      <c r="H115" s="68"/>
      <c r="I115" s="68"/>
      <c r="J115" s="68"/>
      <c r="K115" s="68"/>
    </row>
    <row r="116" spans="2:11" ht="14.25" customHeight="1">
      <c r="B116" s="25"/>
      <c r="C116" s="68"/>
      <c r="D116" s="68"/>
      <c r="E116" s="68"/>
      <c r="F116" s="68"/>
      <c r="G116" s="68"/>
      <c r="H116" s="68"/>
      <c r="I116" s="68"/>
      <c r="J116" s="68"/>
      <c r="K116" s="68"/>
    </row>
    <row r="117" spans="2:11" ht="14.25" customHeight="1">
      <c r="B117" s="25"/>
      <c r="C117" s="68"/>
      <c r="D117" s="68"/>
      <c r="E117" s="68"/>
      <c r="F117" s="68"/>
      <c r="G117" s="68"/>
      <c r="H117" s="68"/>
      <c r="I117" s="68"/>
      <c r="J117" s="68"/>
      <c r="K117" s="68"/>
    </row>
    <row r="118" spans="2:11" ht="14.25" customHeight="1">
      <c r="B118" s="25"/>
      <c r="C118" s="68"/>
      <c r="D118" s="68"/>
      <c r="E118" s="68"/>
      <c r="F118" s="68"/>
      <c r="G118" s="68"/>
      <c r="H118" s="68"/>
      <c r="I118" s="68"/>
      <c r="J118" s="68"/>
      <c r="K118" s="68"/>
    </row>
    <row r="119" spans="2:11" ht="14.25" customHeight="1">
      <c r="B119" s="25"/>
      <c r="C119" s="68"/>
      <c r="D119" s="68"/>
      <c r="E119" s="68"/>
      <c r="F119" s="68"/>
      <c r="G119" s="68"/>
      <c r="H119" s="68"/>
      <c r="I119" s="68"/>
      <c r="J119" s="68"/>
      <c r="K119" s="68"/>
    </row>
    <row r="120" spans="2:11" ht="14.25" customHeight="1">
      <c r="B120" s="25"/>
      <c r="C120" s="68"/>
      <c r="D120" s="68"/>
      <c r="E120" s="68"/>
      <c r="F120" s="68"/>
      <c r="G120" s="68"/>
      <c r="H120" s="68"/>
      <c r="I120" s="68"/>
      <c r="J120" s="68"/>
      <c r="K120" s="68"/>
    </row>
    <row r="121" spans="2:11" ht="14.25" customHeight="1">
      <c r="B121" s="25"/>
      <c r="C121" s="68"/>
      <c r="D121" s="68"/>
      <c r="E121" s="68"/>
      <c r="F121" s="68"/>
      <c r="G121" s="68"/>
      <c r="H121" s="68"/>
      <c r="I121" s="68"/>
      <c r="J121" s="68"/>
      <c r="K121" s="68"/>
    </row>
    <row r="122" spans="2:11" ht="14.25" customHeight="1">
      <c r="B122" s="25"/>
      <c r="C122" s="68"/>
      <c r="D122" s="68"/>
      <c r="E122" s="68"/>
      <c r="F122" s="68"/>
      <c r="G122" s="68"/>
      <c r="H122" s="68"/>
      <c r="I122" s="68"/>
      <c r="J122" s="68"/>
      <c r="K122" s="68"/>
    </row>
    <row r="123" spans="2:11" ht="14.25" customHeight="1">
      <c r="B123" s="25"/>
      <c r="C123" s="68"/>
      <c r="D123" s="68"/>
      <c r="E123" s="68"/>
      <c r="F123" s="68"/>
      <c r="G123" s="68"/>
      <c r="H123" s="68"/>
      <c r="I123" s="68"/>
      <c r="J123" s="68"/>
      <c r="K123" s="68"/>
    </row>
    <row r="124" spans="2:11" ht="14.25" customHeight="1">
      <c r="B124" s="25"/>
      <c r="C124" s="68"/>
      <c r="D124" s="68"/>
      <c r="E124" s="68"/>
      <c r="F124" s="68"/>
      <c r="G124" s="68"/>
      <c r="H124" s="68"/>
      <c r="I124" s="68"/>
      <c r="J124" s="68"/>
      <c r="K124" s="68"/>
    </row>
    <row r="125" spans="2:11" ht="14.25" customHeight="1">
      <c r="B125" s="25"/>
      <c r="C125" s="68"/>
      <c r="D125" s="68"/>
      <c r="E125" s="68"/>
      <c r="F125" s="68"/>
      <c r="G125" s="68"/>
      <c r="H125" s="68"/>
      <c r="I125" s="68"/>
      <c r="J125" s="68"/>
      <c r="K125" s="68"/>
    </row>
    <row r="126" spans="2:11" ht="14.25" customHeight="1">
      <c r="B126" s="25"/>
      <c r="C126" s="68"/>
      <c r="D126" s="68"/>
      <c r="E126" s="68"/>
      <c r="F126" s="68"/>
      <c r="G126" s="68"/>
      <c r="H126" s="68"/>
      <c r="I126" s="68"/>
      <c r="J126" s="68"/>
      <c r="K126" s="68"/>
    </row>
    <row r="127" spans="2:11" ht="14.25" customHeight="1">
      <c r="B127" s="25"/>
      <c r="C127" s="68"/>
      <c r="D127" s="68"/>
      <c r="E127" s="68"/>
      <c r="F127" s="68"/>
      <c r="G127" s="68"/>
      <c r="H127" s="68"/>
      <c r="I127" s="68"/>
      <c r="J127" s="68"/>
      <c r="K127" s="68"/>
    </row>
    <row r="128" spans="2:11" ht="14.25" customHeight="1">
      <c r="B128" s="25"/>
      <c r="C128" s="68"/>
      <c r="D128" s="68"/>
      <c r="E128" s="68"/>
      <c r="F128" s="68"/>
      <c r="G128" s="68"/>
      <c r="H128" s="68"/>
      <c r="I128" s="68"/>
      <c r="J128" s="68"/>
      <c r="K128" s="68"/>
    </row>
    <row r="129" spans="2:11" ht="14.25" customHeight="1">
      <c r="B129" s="25"/>
      <c r="C129" s="68"/>
      <c r="D129" s="68"/>
      <c r="E129" s="68"/>
      <c r="F129" s="68"/>
      <c r="G129" s="68"/>
      <c r="H129" s="68"/>
      <c r="I129" s="68"/>
      <c r="J129" s="68"/>
      <c r="K129" s="68"/>
    </row>
    <row r="130" spans="2:11" ht="14.25" customHeight="1">
      <c r="B130" s="25"/>
      <c r="C130" s="68"/>
      <c r="D130" s="68"/>
      <c r="E130" s="68"/>
      <c r="F130" s="68"/>
      <c r="G130" s="68"/>
      <c r="H130" s="68"/>
      <c r="I130" s="68"/>
      <c r="J130" s="68"/>
      <c r="K130" s="68"/>
    </row>
    <row r="131" spans="2:11" ht="14.25" customHeight="1">
      <c r="B131" s="25"/>
      <c r="C131" s="68"/>
      <c r="D131" s="68"/>
      <c r="E131" s="68"/>
      <c r="F131" s="68"/>
      <c r="G131" s="68"/>
      <c r="H131" s="68"/>
      <c r="I131" s="68"/>
      <c r="J131" s="68"/>
      <c r="K131" s="68"/>
    </row>
    <row r="132" spans="2:11" ht="14.25" customHeight="1">
      <c r="B132" s="25"/>
      <c r="C132" s="68"/>
      <c r="D132" s="68"/>
      <c r="E132" s="68"/>
      <c r="F132" s="68"/>
      <c r="G132" s="68"/>
      <c r="H132" s="68"/>
      <c r="I132" s="68"/>
      <c r="J132" s="68"/>
      <c r="K132" s="68"/>
    </row>
    <row r="133" spans="2:11" ht="14.25" customHeight="1">
      <c r="B133" s="25"/>
      <c r="C133" s="68"/>
      <c r="D133" s="68"/>
      <c r="E133" s="68"/>
      <c r="F133" s="68"/>
      <c r="G133" s="68"/>
      <c r="H133" s="68"/>
      <c r="I133" s="68"/>
      <c r="J133" s="68"/>
      <c r="K133" s="68"/>
    </row>
    <row r="134" spans="2:11" ht="14.25" customHeight="1">
      <c r="B134" s="25"/>
      <c r="C134" s="68"/>
      <c r="D134" s="68"/>
      <c r="E134" s="68"/>
      <c r="F134" s="68"/>
      <c r="G134" s="68"/>
      <c r="H134" s="68"/>
      <c r="I134" s="68"/>
      <c r="J134" s="68"/>
      <c r="K134" s="68"/>
    </row>
    <row r="135" spans="2:11" ht="14.25" customHeight="1">
      <c r="B135" s="25"/>
      <c r="C135" s="68"/>
      <c r="D135" s="68"/>
      <c r="E135" s="68"/>
      <c r="F135" s="68"/>
      <c r="G135" s="68"/>
      <c r="H135" s="68"/>
      <c r="I135" s="68"/>
      <c r="J135" s="68"/>
      <c r="K135" s="68"/>
    </row>
    <row r="136" spans="2:11" ht="14.25" customHeight="1">
      <c r="B136" s="25"/>
      <c r="C136" s="68"/>
      <c r="D136" s="68"/>
      <c r="E136" s="68"/>
      <c r="F136" s="68"/>
      <c r="G136" s="68"/>
      <c r="H136" s="68"/>
      <c r="I136" s="68"/>
      <c r="J136" s="68"/>
      <c r="K136" s="68"/>
    </row>
    <row r="137" spans="2:11" ht="14.25" customHeight="1">
      <c r="B137" s="25"/>
      <c r="C137" s="68"/>
      <c r="D137" s="68"/>
      <c r="E137" s="68"/>
      <c r="F137" s="68"/>
      <c r="G137" s="68"/>
      <c r="H137" s="68"/>
      <c r="I137" s="68"/>
      <c r="J137" s="68"/>
      <c r="K137" s="68"/>
    </row>
    <row r="138" spans="2:11" ht="14.25" customHeight="1">
      <c r="B138" s="25"/>
      <c r="C138" s="68"/>
      <c r="D138" s="68"/>
      <c r="E138" s="68"/>
      <c r="F138" s="68"/>
      <c r="G138" s="68"/>
      <c r="H138" s="68"/>
      <c r="I138" s="68"/>
      <c r="J138" s="68"/>
      <c r="K138" s="68"/>
    </row>
    <row r="139" spans="2:11" ht="14.25" customHeight="1">
      <c r="B139" s="25"/>
      <c r="C139" s="68"/>
      <c r="D139" s="68"/>
      <c r="E139" s="68"/>
      <c r="F139" s="68"/>
      <c r="G139" s="68"/>
      <c r="H139" s="68"/>
      <c r="I139" s="68"/>
      <c r="J139" s="68"/>
      <c r="K139" s="68"/>
    </row>
    <row r="140" spans="2:11" ht="14.25" customHeight="1">
      <c r="B140" s="25"/>
      <c r="C140" s="68"/>
      <c r="D140" s="68"/>
      <c r="E140" s="68"/>
      <c r="F140" s="68"/>
      <c r="G140" s="68"/>
      <c r="H140" s="68"/>
      <c r="I140" s="68"/>
      <c r="J140" s="68"/>
      <c r="K140" s="68"/>
    </row>
    <row r="141" spans="2:11" ht="14.25" customHeight="1">
      <c r="B141" s="25"/>
      <c r="C141" s="68"/>
      <c r="D141" s="68"/>
      <c r="E141" s="68"/>
      <c r="F141" s="68"/>
      <c r="G141" s="68"/>
      <c r="H141" s="68"/>
      <c r="I141" s="68"/>
      <c r="J141" s="68"/>
      <c r="K141" s="68"/>
    </row>
    <row r="142" spans="2:11" ht="14.25" customHeight="1">
      <c r="B142" s="25"/>
      <c r="C142" s="68"/>
      <c r="D142" s="68"/>
      <c r="E142" s="68"/>
      <c r="F142" s="68"/>
      <c r="G142" s="68"/>
      <c r="H142" s="68"/>
      <c r="I142" s="68"/>
      <c r="J142" s="68"/>
      <c r="K142" s="68"/>
    </row>
    <row r="143" spans="2:11" ht="14.25" customHeight="1">
      <c r="B143" s="25"/>
      <c r="C143" s="68"/>
      <c r="D143" s="68"/>
      <c r="E143" s="68"/>
      <c r="F143" s="68"/>
      <c r="G143" s="68"/>
      <c r="H143" s="68"/>
      <c r="I143" s="68"/>
      <c r="J143" s="68"/>
      <c r="K143" s="68"/>
    </row>
    <row r="144" spans="2:11" ht="14.25" customHeight="1">
      <c r="B144" s="25"/>
      <c r="C144" s="68"/>
      <c r="D144" s="68"/>
      <c r="E144" s="68"/>
      <c r="F144" s="68"/>
      <c r="G144" s="68"/>
      <c r="H144" s="68"/>
      <c r="I144" s="68"/>
      <c r="J144" s="68"/>
      <c r="K144" s="68"/>
    </row>
    <row r="145" spans="2:11" ht="14.25" customHeight="1">
      <c r="B145" s="25"/>
      <c r="C145" s="68"/>
      <c r="D145" s="68"/>
      <c r="E145" s="68"/>
      <c r="F145" s="68"/>
      <c r="G145" s="68"/>
      <c r="H145" s="68"/>
      <c r="I145" s="68"/>
      <c r="J145" s="68"/>
      <c r="K145" s="68"/>
    </row>
    <row r="146" spans="2:11" ht="14.25" customHeight="1">
      <c r="B146" s="25"/>
      <c r="C146" s="68"/>
      <c r="D146" s="68"/>
      <c r="E146" s="68"/>
      <c r="F146" s="68"/>
      <c r="G146" s="68"/>
      <c r="H146" s="68"/>
      <c r="I146" s="68"/>
      <c r="J146" s="68"/>
      <c r="K146" s="68"/>
    </row>
    <row r="147" spans="2:11" ht="14.25" customHeight="1">
      <c r="B147" s="25"/>
      <c r="C147" s="68"/>
      <c r="D147" s="68"/>
      <c r="E147" s="68"/>
      <c r="F147" s="68"/>
      <c r="G147" s="68"/>
      <c r="H147" s="68"/>
      <c r="I147" s="68"/>
      <c r="J147" s="68"/>
      <c r="K147" s="68"/>
    </row>
    <row r="148" spans="2:11" ht="14.25" customHeight="1">
      <c r="B148" s="25"/>
      <c r="C148" s="68"/>
      <c r="D148" s="68"/>
      <c r="E148" s="68"/>
      <c r="F148" s="68"/>
      <c r="G148" s="68"/>
      <c r="H148" s="68"/>
      <c r="I148" s="68"/>
      <c r="J148" s="68"/>
      <c r="K148" s="68"/>
    </row>
    <row r="149" spans="2:11" ht="14.25" customHeight="1">
      <c r="B149" s="25"/>
      <c r="C149" s="68"/>
      <c r="D149" s="68"/>
      <c r="E149" s="68"/>
      <c r="F149" s="68"/>
      <c r="G149" s="68"/>
      <c r="H149" s="68"/>
      <c r="I149" s="68"/>
      <c r="J149" s="68"/>
      <c r="K149" s="68"/>
    </row>
    <row r="150" spans="2:11" ht="14.25" customHeight="1">
      <c r="B150" s="25"/>
      <c r="C150" s="68"/>
      <c r="D150" s="68"/>
      <c r="E150" s="68"/>
      <c r="F150" s="68"/>
      <c r="G150" s="68"/>
      <c r="H150" s="68"/>
      <c r="I150" s="68"/>
      <c r="J150" s="68"/>
      <c r="K150" s="68"/>
    </row>
    <row r="151" spans="2:11" ht="14.25" customHeight="1">
      <c r="B151" s="25"/>
      <c r="C151" s="68"/>
      <c r="D151" s="68"/>
      <c r="E151" s="68"/>
      <c r="F151" s="68"/>
      <c r="G151" s="68"/>
      <c r="H151" s="68"/>
      <c r="I151" s="68"/>
      <c r="J151" s="68"/>
      <c r="K151" s="68"/>
    </row>
    <row r="152" spans="2:11" ht="14.25" customHeight="1">
      <c r="B152" s="25"/>
      <c r="C152" s="68"/>
      <c r="D152" s="68"/>
      <c r="E152" s="68"/>
      <c r="F152" s="68"/>
      <c r="G152" s="68"/>
      <c r="H152" s="68"/>
      <c r="I152" s="68"/>
      <c r="J152" s="68"/>
      <c r="K152" s="68"/>
    </row>
    <row r="153" spans="2:11" ht="14.25" customHeight="1">
      <c r="B153" s="25"/>
      <c r="C153" s="68"/>
      <c r="D153" s="68"/>
      <c r="E153" s="68"/>
      <c r="F153" s="68"/>
      <c r="G153" s="68"/>
      <c r="H153" s="68"/>
      <c r="I153" s="68"/>
      <c r="J153" s="68"/>
      <c r="K153" s="68"/>
    </row>
    <row r="154" spans="2:11" ht="14.25" customHeight="1">
      <c r="B154" s="25"/>
      <c r="C154" s="68"/>
      <c r="D154" s="68"/>
      <c r="E154" s="68"/>
      <c r="F154" s="68"/>
      <c r="G154" s="68"/>
      <c r="H154" s="68"/>
      <c r="I154" s="68"/>
      <c r="J154" s="68"/>
      <c r="K154" s="68"/>
    </row>
    <row r="155" spans="2:11" ht="14.25" customHeight="1">
      <c r="B155" s="25"/>
      <c r="C155" s="68"/>
      <c r="D155" s="68"/>
      <c r="E155" s="68"/>
      <c r="F155" s="68"/>
      <c r="G155" s="68"/>
      <c r="H155" s="68"/>
      <c r="I155" s="68"/>
      <c r="J155" s="68"/>
      <c r="K155" s="68"/>
    </row>
    <row r="156" spans="2:11" ht="14.25" customHeight="1">
      <c r="B156" s="25"/>
      <c r="C156" s="68"/>
      <c r="D156" s="68"/>
      <c r="E156" s="68"/>
      <c r="F156" s="68"/>
      <c r="G156" s="68"/>
      <c r="H156" s="68"/>
      <c r="I156" s="68"/>
      <c r="J156" s="68"/>
      <c r="K156" s="68"/>
    </row>
    <row r="157" spans="2:11" ht="14.25" customHeight="1">
      <c r="B157" s="25"/>
      <c r="C157" s="68"/>
      <c r="D157" s="68"/>
      <c r="E157" s="68"/>
      <c r="F157" s="68"/>
      <c r="G157" s="68"/>
      <c r="H157" s="68"/>
      <c r="I157" s="68"/>
      <c r="J157" s="68"/>
      <c r="K157" s="68"/>
    </row>
    <row r="158" spans="2:11" ht="14.25" customHeight="1">
      <c r="B158" s="25"/>
      <c r="C158" s="68"/>
      <c r="D158" s="68"/>
      <c r="E158" s="68"/>
      <c r="F158" s="68"/>
      <c r="G158" s="68"/>
      <c r="H158" s="68"/>
      <c r="I158" s="68"/>
      <c r="J158" s="68"/>
      <c r="K158" s="68"/>
    </row>
    <row r="159" spans="2:11" ht="14.25" customHeight="1">
      <c r="B159" s="25"/>
      <c r="C159" s="68"/>
      <c r="D159" s="68"/>
      <c r="E159" s="68"/>
      <c r="F159" s="68"/>
      <c r="G159" s="68"/>
      <c r="H159" s="68"/>
      <c r="I159" s="68"/>
      <c r="J159" s="68"/>
      <c r="K159" s="68"/>
    </row>
    <row r="160" spans="2:11" ht="14.25" customHeight="1">
      <c r="B160" s="25"/>
      <c r="C160" s="68"/>
      <c r="D160" s="68"/>
      <c r="E160" s="68"/>
      <c r="F160" s="68"/>
      <c r="G160" s="68"/>
      <c r="H160" s="68"/>
      <c r="I160" s="68"/>
      <c r="J160" s="68"/>
      <c r="K160" s="68"/>
    </row>
    <row r="161" spans="2:11" ht="14.25" customHeight="1">
      <c r="B161" s="25"/>
      <c r="C161" s="68"/>
      <c r="D161" s="68"/>
      <c r="E161" s="68"/>
      <c r="F161" s="68"/>
      <c r="G161" s="68"/>
      <c r="H161" s="68"/>
      <c r="I161" s="68"/>
      <c r="J161" s="68"/>
      <c r="K161" s="68"/>
    </row>
    <row r="162" spans="2:11" ht="14.25" customHeight="1">
      <c r="B162" s="25"/>
      <c r="C162" s="68"/>
      <c r="D162" s="68"/>
      <c r="E162" s="68"/>
      <c r="F162" s="68"/>
      <c r="G162" s="68"/>
      <c r="H162" s="68"/>
      <c r="I162" s="68"/>
      <c r="J162" s="68"/>
      <c r="K162" s="68"/>
    </row>
    <row r="163" spans="2:11" ht="14.25" customHeight="1">
      <c r="B163" s="25"/>
      <c r="C163" s="68"/>
      <c r="D163" s="68"/>
      <c r="E163" s="68"/>
      <c r="F163" s="68"/>
      <c r="G163" s="68"/>
      <c r="H163" s="68"/>
      <c r="I163" s="68"/>
      <c r="J163" s="68"/>
      <c r="K163" s="68"/>
    </row>
    <row r="164" spans="2:11" ht="14.25" customHeight="1">
      <c r="B164" s="25"/>
      <c r="C164" s="68"/>
      <c r="D164" s="68"/>
      <c r="E164" s="68"/>
      <c r="F164" s="68"/>
      <c r="G164" s="68"/>
      <c r="H164" s="68"/>
      <c r="I164" s="68"/>
      <c r="J164" s="68"/>
      <c r="K164" s="68"/>
    </row>
    <row r="165" spans="2:11" ht="14.25" customHeight="1">
      <c r="B165" s="25"/>
      <c r="C165" s="68"/>
      <c r="D165" s="68"/>
      <c r="E165" s="68"/>
      <c r="F165" s="68"/>
      <c r="G165" s="68"/>
      <c r="H165" s="68"/>
      <c r="I165" s="68"/>
      <c r="J165" s="68"/>
      <c r="K165" s="68"/>
    </row>
    <row r="166" spans="2:11" ht="14.25" customHeight="1">
      <c r="B166" s="25"/>
      <c r="C166" s="68"/>
      <c r="D166" s="68"/>
      <c r="E166" s="68"/>
      <c r="F166" s="68"/>
      <c r="G166" s="68"/>
      <c r="H166" s="68"/>
      <c r="I166" s="68"/>
      <c r="J166" s="68"/>
      <c r="K166" s="68"/>
    </row>
    <row r="167" spans="2:11" ht="14.25" customHeight="1">
      <c r="B167" s="25"/>
      <c r="C167" s="68"/>
      <c r="D167" s="68"/>
      <c r="E167" s="68"/>
      <c r="F167" s="68"/>
      <c r="G167" s="68"/>
      <c r="H167" s="68"/>
      <c r="I167" s="68"/>
      <c r="J167" s="68"/>
      <c r="K167" s="68"/>
    </row>
    <row r="168" spans="2:11" ht="14.25" customHeight="1">
      <c r="B168" s="25"/>
      <c r="C168" s="68"/>
      <c r="D168" s="68"/>
      <c r="E168" s="68"/>
      <c r="F168" s="68"/>
      <c r="G168" s="68"/>
      <c r="H168" s="68"/>
      <c r="I168" s="68"/>
      <c r="J168" s="68"/>
      <c r="K168" s="68"/>
    </row>
    <row r="169" spans="2:11" ht="14.25" customHeight="1">
      <c r="B169" s="25"/>
      <c r="C169" s="68"/>
      <c r="D169" s="68"/>
      <c r="E169" s="68"/>
      <c r="F169" s="68"/>
      <c r="G169" s="68"/>
      <c r="H169" s="68"/>
      <c r="I169" s="68"/>
      <c r="J169" s="68"/>
      <c r="K169" s="68"/>
    </row>
    <row r="170" spans="2:11" ht="14.25" customHeight="1">
      <c r="B170" s="25"/>
      <c r="C170" s="68"/>
      <c r="D170" s="68"/>
      <c r="E170" s="68"/>
      <c r="F170" s="68"/>
      <c r="G170" s="68"/>
      <c r="H170" s="68"/>
      <c r="I170" s="68"/>
      <c r="J170" s="68"/>
      <c r="K170" s="68"/>
    </row>
    <row r="171" spans="2:11" ht="14.25" customHeight="1">
      <c r="B171" s="25"/>
      <c r="C171" s="68"/>
      <c r="D171" s="68"/>
      <c r="E171" s="68"/>
      <c r="F171" s="68"/>
      <c r="G171" s="68"/>
      <c r="H171" s="68"/>
      <c r="I171" s="68"/>
      <c r="J171" s="68"/>
      <c r="K171" s="68"/>
    </row>
    <row r="172" spans="2:11" ht="14.25" customHeight="1">
      <c r="B172" s="25"/>
      <c r="C172" s="68"/>
      <c r="D172" s="68"/>
      <c r="E172" s="68"/>
      <c r="F172" s="68"/>
      <c r="G172" s="68"/>
      <c r="H172" s="68"/>
      <c r="I172" s="68"/>
      <c r="J172" s="68"/>
      <c r="K172" s="68"/>
    </row>
    <row r="173" spans="2:11" ht="14.25" customHeight="1">
      <c r="B173" s="25"/>
      <c r="C173" s="68"/>
      <c r="D173" s="68"/>
      <c r="E173" s="68"/>
      <c r="F173" s="68"/>
      <c r="G173" s="68"/>
      <c r="H173" s="68"/>
      <c r="I173" s="68"/>
      <c r="J173" s="68"/>
      <c r="K173" s="68"/>
    </row>
    <row r="174" spans="2:11" ht="14.25" customHeight="1">
      <c r="B174" s="25"/>
      <c r="C174" s="68"/>
      <c r="D174" s="68"/>
      <c r="E174" s="68"/>
      <c r="F174" s="68"/>
      <c r="G174" s="68"/>
      <c r="H174" s="68"/>
      <c r="I174" s="68"/>
      <c r="J174" s="68"/>
      <c r="K174" s="68"/>
    </row>
    <row r="175" spans="2:11" ht="14.25" customHeight="1">
      <c r="B175" s="25"/>
      <c r="C175" s="68"/>
      <c r="D175" s="68"/>
      <c r="E175" s="68"/>
      <c r="F175" s="68"/>
      <c r="G175" s="68"/>
      <c r="H175" s="68"/>
      <c r="I175" s="68"/>
      <c r="J175" s="68"/>
      <c r="K175" s="68"/>
    </row>
    <row r="176" spans="2:11" ht="14.25" customHeight="1">
      <c r="B176" s="25"/>
      <c r="C176" s="68"/>
      <c r="D176" s="68"/>
      <c r="E176" s="68"/>
      <c r="F176" s="68"/>
      <c r="G176" s="68"/>
      <c r="H176" s="68"/>
      <c r="I176" s="68"/>
      <c r="J176" s="68"/>
      <c r="K176" s="68"/>
    </row>
    <row r="177" spans="2:11" ht="14.25" customHeight="1">
      <c r="B177" s="25"/>
      <c r="C177" s="68"/>
      <c r="D177" s="68"/>
      <c r="E177" s="68"/>
      <c r="F177" s="68"/>
      <c r="G177" s="68"/>
      <c r="H177" s="68"/>
      <c r="I177" s="68"/>
      <c r="J177" s="68"/>
      <c r="K177" s="68"/>
    </row>
    <row r="178" spans="2:11" ht="14.25" customHeight="1">
      <c r="B178" s="25"/>
      <c r="C178" s="68"/>
      <c r="D178" s="68"/>
      <c r="E178" s="68"/>
      <c r="F178" s="68"/>
      <c r="G178" s="68"/>
      <c r="H178" s="68"/>
      <c r="I178" s="68"/>
      <c r="J178" s="68"/>
      <c r="K178" s="68"/>
    </row>
    <row r="179" spans="2:11" ht="14.25" customHeight="1">
      <c r="B179" s="25"/>
      <c r="C179" s="68"/>
      <c r="D179" s="68"/>
      <c r="E179" s="68"/>
      <c r="F179" s="68"/>
      <c r="G179" s="68"/>
      <c r="H179" s="68"/>
      <c r="I179" s="68"/>
      <c r="J179" s="68"/>
      <c r="K179" s="68"/>
    </row>
    <row r="180" spans="2:11" ht="14.25" customHeight="1">
      <c r="B180" s="25"/>
      <c r="C180" s="68"/>
      <c r="D180" s="68"/>
      <c r="E180" s="68"/>
      <c r="F180" s="68"/>
      <c r="G180" s="68"/>
      <c r="H180" s="68"/>
      <c r="I180" s="68"/>
      <c r="J180" s="68"/>
      <c r="K180" s="68"/>
    </row>
    <row r="181" spans="2:11" ht="14.25" customHeight="1">
      <c r="B181" s="25"/>
      <c r="C181" s="68"/>
      <c r="D181" s="68"/>
      <c r="E181" s="68"/>
      <c r="F181" s="68"/>
      <c r="G181" s="68"/>
      <c r="H181" s="68"/>
      <c r="I181" s="68"/>
      <c r="J181" s="68"/>
      <c r="K181" s="68"/>
    </row>
    <row r="182" spans="2:11" ht="14.25" customHeight="1">
      <c r="B182" s="25"/>
      <c r="C182" s="68"/>
      <c r="D182" s="68"/>
      <c r="E182" s="68"/>
      <c r="F182" s="68"/>
      <c r="G182" s="68"/>
      <c r="H182" s="68"/>
      <c r="I182" s="68"/>
      <c r="J182" s="68"/>
      <c r="K182" s="68"/>
    </row>
    <row r="183" spans="2:11" ht="14.25" customHeight="1">
      <c r="B183" s="25"/>
      <c r="C183" s="68"/>
      <c r="D183" s="68"/>
      <c r="E183" s="68"/>
      <c r="F183" s="68"/>
      <c r="G183" s="68"/>
      <c r="H183" s="68"/>
      <c r="I183" s="68"/>
      <c r="J183" s="68"/>
      <c r="K183" s="68"/>
    </row>
    <row r="184" spans="2:11" ht="14.25" customHeight="1">
      <c r="B184" s="25"/>
      <c r="C184" s="68"/>
      <c r="D184" s="68"/>
      <c r="E184" s="68"/>
      <c r="F184" s="68"/>
      <c r="G184" s="68"/>
      <c r="H184" s="68"/>
      <c r="I184" s="68"/>
      <c r="J184" s="68"/>
      <c r="K184" s="68"/>
    </row>
    <row r="185" spans="2:11" ht="14.25" customHeight="1">
      <c r="B185" s="25"/>
      <c r="C185" s="68"/>
      <c r="D185" s="68"/>
      <c r="E185" s="68"/>
      <c r="F185" s="68"/>
      <c r="G185" s="68"/>
      <c r="H185" s="68"/>
      <c r="I185" s="68"/>
      <c r="J185" s="68"/>
      <c r="K185" s="68"/>
    </row>
    <row r="186" spans="2:11" ht="14.25" customHeight="1">
      <c r="B186" s="25"/>
      <c r="C186" s="68"/>
      <c r="D186" s="68"/>
      <c r="E186" s="68"/>
      <c r="F186" s="68"/>
      <c r="G186" s="68"/>
      <c r="H186" s="68"/>
      <c r="I186" s="68"/>
      <c r="J186" s="68"/>
      <c r="K186" s="68"/>
    </row>
    <row r="187" spans="2:11" ht="14.25" customHeight="1">
      <c r="B187" s="25"/>
      <c r="C187" s="68"/>
      <c r="D187" s="68"/>
      <c r="E187" s="68"/>
      <c r="F187" s="68"/>
      <c r="G187" s="68"/>
      <c r="H187" s="68"/>
      <c r="I187" s="68"/>
      <c r="J187" s="68"/>
      <c r="K187" s="68"/>
    </row>
    <row r="188" spans="2:11" ht="14.25" customHeight="1">
      <c r="B188" s="25"/>
      <c r="C188" s="68"/>
      <c r="D188" s="68"/>
      <c r="E188" s="68"/>
      <c r="F188" s="68"/>
      <c r="G188" s="68"/>
      <c r="H188" s="68"/>
      <c r="I188" s="68"/>
      <c r="J188" s="68"/>
      <c r="K188" s="68"/>
    </row>
    <row r="189" spans="2:11" ht="14.25" customHeight="1">
      <c r="B189" s="25"/>
    </row>
    <row r="190" spans="2:11" ht="14.25" customHeight="1">
      <c r="B190" s="25"/>
    </row>
    <row r="191" spans="2:11" ht="14.25" customHeight="1">
      <c r="B191" s="25"/>
    </row>
    <row r="192" spans="2:11"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row r="998" spans="2:2" ht="14.25" customHeight="1">
      <c r="B998" s="25"/>
    </row>
    <row r="999" spans="2:2" ht="14.25" customHeight="1">
      <c r="B999" s="25"/>
    </row>
    <row r="1000" spans="2:2" ht="14.25" customHeight="1">
      <c r="B1000" s="25"/>
    </row>
    <row r="1001" spans="2:2" ht="14.25" customHeight="1">
      <c r="B1001" s="25"/>
    </row>
    <row r="1002" spans="2:2" ht="14.25" customHeight="1">
      <c r="B1002" s="25"/>
    </row>
    <row r="1003" spans="2:2" ht="14.25" customHeight="1">
      <c r="B1003" s="25"/>
    </row>
    <row r="1004" spans="2:2" ht="14.25" customHeight="1">
      <c r="B1004" s="25"/>
    </row>
    <row r="1005" spans="2:2" ht="14.25" customHeight="1">
      <c r="B1005" s="25"/>
    </row>
    <row r="1006" spans="2:2" ht="14.25" customHeight="1">
      <c r="B1006" s="25"/>
    </row>
    <row r="1007" spans="2:2" ht="14.25" customHeight="1">
      <c r="B1007" s="25"/>
    </row>
    <row r="1008" spans="2:2" ht="14.25" customHeight="1">
      <c r="B1008" s="25"/>
    </row>
    <row r="1009" spans="2:2" ht="14.25" customHeight="1">
      <c r="B1009" s="25"/>
    </row>
    <row r="1010" spans="2:2" ht="14.25" customHeight="1">
      <c r="B1010" s="25"/>
    </row>
    <row r="1011" spans="2:2" ht="14.25" customHeight="1">
      <c r="B1011" s="25"/>
    </row>
    <row r="1012" spans="2:2" ht="14.25" customHeight="1">
      <c r="B1012" s="25"/>
    </row>
    <row r="1013" spans="2:2" ht="14.25" customHeight="1">
      <c r="B1013" s="25"/>
    </row>
    <row r="1014" spans="2:2" ht="14.25" customHeight="1">
      <c r="B1014" s="25"/>
    </row>
    <row r="1015" spans="2:2" ht="14.25" customHeight="1">
      <c r="B1015" s="25"/>
    </row>
    <row r="1016" spans="2:2" ht="14.25" customHeight="1">
      <c r="B1016" s="25"/>
    </row>
    <row r="1017" spans="2:2" ht="14.25" customHeight="1">
      <c r="B1017" s="25"/>
    </row>
    <row r="1018" spans="2:2" ht="14.25" customHeight="1">
      <c r="B1018" s="25"/>
    </row>
    <row r="1019" spans="2:2" ht="14.25" customHeight="1">
      <c r="B1019" s="25"/>
    </row>
    <row r="1020" spans="2:2" ht="14.25" customHeight="1">
      <c r="B1020" s="25"/>
    </row>
    <row r="1021" spans="2:2" ht="14.25" customHeight="1">
      <c r="B1021" s="25"/>
    </row>
    <row r="1022" spans="2:2" ht="14.25" customHeight="1">
      <c r="B1022" s="25"/>
    </row>
    <row r="1023" spans="2:2" ht="14.25" customHeight="1">
      <c r="B1023" s="25"/>
    </row>
    <row r="1024" spans="2:2" ht="14.25" customHeight="1">
      <c r="B1024" s="25"/>
    </row>
    <row r="1025" spans="2:2" ht="14.25" customHeight="1">
      <c r="B1025" s="25"/>
    </row>
    <row r="1026" spans="2:2" ht="14.25" customHeight="1">
      <c r="B1026" s="25"/>
    </row>
    <row r="1027" spans="2:2" ht="14.25" customHeight="1">
      <c r="B1027" s="25"/>
    </row>
    <row r="1028" spans="2:2" ht="14.25" customHeight="1">
      <c r="B1028" s="25"/>
    </row>
    <row r="1029" spans="2:2" ht="14.25" customHeight="1">
      <c r="B1029" s="25"/>
    </row>
    <row r="1030" spans="2:2" ht="14.25" customHeight="1">
      <c r="B1030" s="25"/>
    </row>
    <row r="1031" spans="2:2" ht="14.25" customHeight="1">
      <c r="B1031" s="25"/>
    </row>
    <row r="1032" spans="2:2" ht="14.25" customHeight="1">
      <c r="B1032" s="25"/>
    </row>
    <row r="1033" spans="2:2" ht="14.25" customHeight="1">
      <c r="B1033" s="25"/>
    </row>
    <row r="1034" spans="2:2" ht="14.25" customHeight="1">
      <c r="B1034" s="25"/>
    </row>
    <row r="1035" spans="2:2" ht="14.25" customHeight="1">
      <c r="B1035" s="25"/>
    </row>
    <row r="1036" spans="2:2" ht="14.25" customHeight="1">
      <c r="B1036" s="25"/>
    </row>
    <row r="1037" spans="2:2" ht="14.25" customHeight="1">
      <c r="B1037" s="25"/>
    </row>
    <row r="1038" spans="2:2" ht="14.25" customHeight="1">
      <c r="B1038" s="25"/>
    </row>
    <row r="1039" spans="2:2" ht="14.25" customHeight="1">
      <c r="B1039" s="25"/>
    </row>
    <row r="1040" spans="2:2" ht="14.25" customHeight="1">
      <c r="B1040" s="25"/>
    </row>
    <row r="1041" spans="2:2" ht="14.25" customHeight="1">
      <c r="B1041" s="25"/>
    </row>
    <row r="1042" spans="2:2" ht="14.25" customHeight="1">
      <c r="B1042" s="25"/>
    </row>
    <row r="1043" spans="2:2" ht="14.25" customHeight="1">
      <c r="B1043" s="25"/>
    </row>
    <row r="1044" spans="2:2" ht="14.25" customHeight="1">
      <c r="B1044" s="25"/>
    </row>
    <row r="1045" spans="2:2" ht="14.25" customHeight="1">
      <c r="B1045" s="25"/>
    </row>
    <row r="1046" spans="2:2" ht="14.25" customHeight="1">
      <c r="B1046" s="25"/>
    </row>
    <row r="1047" spans="2:2" ht="14.25" customHeight="1">
      <c r="B1047" s="25"/>
    </row>
    <row r="1048" spans="2:2" ht="14.25" customHeight="1">
      <c r="B1048" s="25"/>
    </row>
    <row r="1049" spans="2:2" ht="14.25" customHeight="1">
      <c r="B1049" s="25"/>
    </row>
    <row r="1050" spans="2:2" ht="14.25" customHeight="1">
      <c r="B1050" s="25"/>
    </row>
    <row r="1051" spans="2:2" ht="14.25" customHeight="1">
      <c r="B1051" s="25"/>
    </row>
    <row r="1052" spans="2:2" ht="14.25" customHeight="1">
      <c r="B1052" s="25"/>
    </row>
    <row r="1053" spans="2:2" ht="14.25" customHeight="1">
      <c r="B1053" s="25"/>
    </row>
    <row r="1054" spans="2:2" ht="14.25" customHeight="1">
      <c r="B1054" s="25"/>
    </row>
    <row r="1055" spans="2:2" ht="14.25" customHeight="1">
      <c r="B1055" s="25"/>
    </row>
  </sheetData>
  <mergeCells count="96">
    <mergeCell ref="C83:K83"/>
    <mergeCell ref="C84:K84"/>
    <mergeCell ref="C85:K85"/>
    <mergeCell ref="C78:K78"/>
    <mergeCell ref="C79:K79"/>
    <mergeCell ref="C80:K80"/>
    <mergeCell ref="C81:K81"/>
    <mergeCell ref="C82:K82"/>
    <mergeCell ref="C73:K73"/>
    <mergeCell ref="C74:K74"/>
    <mergeCell ref="C75:K75"/>
    <mergeCell ref="C76:K76"/>
    <mergeCell ref="C77:K77"/>
    <mergeCell ref="C69:K69"/>
    <mergeCell ref="C70:K70"/>
    <mergeCell ref="C64:K64"/>
    <mergeCell ref="C65:K65"/>
    <mergeCell ref="C66:K66"/>
    <mergeCell ref="C67:K67"/>
    <mergeCell ref="C68:K68"/>
    <mergeCell ref="C58:K58"/>
    <mergeCell ref="C59:K59"/>
    <mergeCell ref="C60:K60"/>
    <mergeCell ref="C62:K62"/>
    <mergeCell ref="C63:K63"/>
    <mergeCell ref="C51:K51"/>
    <mergeCell ref="C52:K52"/>
    <mergeCell ref="C53:K53"/>
    <mergeCell ref="C54:K54"/>
    <mergeCell ref="C57:K57"/>
    <mergeCell ref="C45:K45"/>
    <mergeCell ref="C47:K47"/>
    <mergeCell ref="C48:K48"/>
    <mergeCell ref="C49:K49"/>
    <mergeCell ref="C50:K50"/>
    <mergeCell ref="C40:K40"/>
    <mergeCell ref="C41:K41"/>
    <mergeCell ref="C42:K42"/>
    <mergeCell ref="C43:K43"/>
    <mergeCell ref="C44:K44"/>
    <mergeCell ref="C2:G2"/>
    <mergeCell ref="C3:G3"/>
    <mergeCell ref="C4:G4"/>
    <mergeCell ref="B5:C5"/>
    <mergeCell ref="M8:O8"/>
    <mergeCell ref="P8:P9"/>
    <mergeCell ref="D9:I9"/>
    <mergeCell ref="C12:K12"/>
    <mergeCell ref="C13:K13"/>
    <mergeCell ref="C14:K14"/>
    <mergeCell ref="C15:K15"/>
    <mergeCell ref="C16:K16"/>
    <mergeCell ref="C29:K29"/>
    <mergeCell ref="C56:K56"/>
    <mergeCell ref="C61:K61"/>
    <mergeCell ref="C17:K17"/>
    <mergeCell ref="C18:K18"/>
    <mergeCell ref="C19:K19"/>
    <mergeCell ref="C20:K20"/>
    <mergeCell ref="C21:K21"/>
    <mergeCell ref="C22:K22"/>
    <mergeCell ref="C23:K23"/>
    <mergeCell ref="C24:K24"/>
    <mergeCell ref="C25:K25"/>
    <mergeCell ref="C55:K55"/>
    <mergeCell ref="C37:K37"/>
    <mergeCell ref="C98:K98"/>
    <mergeCell ref="C99:K99"/>
    <mergeCell ref="C100:K100"/>
    <mergeCell ref="C91:K91"/>
    <mergeCell ref="C92:K92"/>
    <mergeCell ref="C93:K93"/>
    <mergeCell ref="C94:K94"/>
    <mergeCell ref="C95:K95"/>
    <mergeCell ref="C96:K96"/>
    <mergeCell ref="C26:K26"/>
    <mergeCell ref="C27:K27"/>
    <mergeCell ref="C28:K28"/>
    <mergeCell ref="C30:K30"/>
    <mergeCell ref="C97:K97"/>
    <mergeCell ref="C89:K89"/>
    <mergeCell ref="C46:K46"/>
    <mergeCell ref="C90:K90"/>
    <mergeCell ref="C71:K71"/>
    <mergeCell ref="C72:K72"/>
    <mergeCell ref="C86:K86"/>
    <mergeCell ref="C87:K87"/>
    <mergeCell ref="C88:K88"/>
    <mergeCell ref="C38:K38"/>
    <mergeCell ref="C39:K39"/>
    <mergeCell ref="C36:K36"/>
    <mergeCell ref="C31:K31"/>
    <mergeCell ref="C32:K32"/>
    <mergeCell ref="C33:K33"/>
    <mergeCell ref="C34:K34"/>
    <mergeCell ref="C35:K35"/>
  </mergeCells>
  <hyperlinks>
    <hyperlink ref="V2" location="'REQ. NO FUN. GEN'!A1" display="Volver" xr:uid="{00000000-0004-0000-0700-000000000000}"/>
  </hyperlinks>
  <pageMargins left="0.7" right="0.7" top="0.75" bottom="0.75" header="0" footer="0"/>
  <pageSetup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V993"/>
  <sheetViews>
    <sheetView tabSelected="1" topLeftCell="A16" workbookViewId="0">
      <selection activeCell="R25" sqref="R25"/>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32"/>
      <c r="D9" s="129" t="s">
        <v>157</v>
      </c>
      <c r="E9" s="130"/>
      <c r="F9" s="130"/>
      <c r="G9" s="130"/>
      <c r="H9" s="130"/>
      <c r="I9" s="131"/>
      <c r="J9" s="32"/>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28.5" customHeight="1">
      <c r="B12" s="37">
        <v>1</v>
      </c>
      <c r="C12" s="120" t="s">
        <v>158</v>
      </c>
      <c r="D12" s="121"/>
      <c r="E12" s="121"/>
      <c r="F12" s="121"/>
      <c r="G12" s="121"/>
      <c r="H12" s="121"/>
      <c r="I12" s="121"/>
      <c r="J12" s="121"/>
      <c r="K12" s="122"/>
      <c r="L12" s="38"/>
      <c r="M12" s="39" t="s">
        <v>45</v>
      </c>
      <c r="N12" s="39"/>
      <c r="O12" s="39"/>
      <c r="P12" s="51"/>
      <c r="R12" t="s">
        <v>574</v>
      </c>
    </row>
    <row r="13" spans="2:22" ht="28.5" customHeight="1">
      <c r="B13" s="37">
        <v>2</v>
      </c>
      <c r="C13" s="120" t="s">
        <v>159</v>
      </c>
      <c r="D13" s="121"/>
      <c r="E13" s="121"/>
      <c r="F13" s="121"/>
      <c r="G13" s="121"/>
      <c r="H13" s="121"/>
      <c r="I13" s="121"/>
      <c r="J13" s="121"/>
      <c r="K13" s="122"/>
      <c r="L13" s="38"/>
      <c r="M13" s="39"/>
      <c r="N13" s="39" t="s">
        <v>45</v>
      </c>
      <c r="O13" s="39"/>
      <c r="P13" s="51"/>
    </row>
    <row r="14" spans="2:22" ht="27.75" customHeight="1">
      <c r="B14" s="37">
        <v>3</v>
      </c>
      <c r="C14" s="120" t="s">
        <v>160</v>
      </c>
      <c r="D14" s="121"/>
      <c r="E14" s="121"/>
      <c r="F14" s="121"/>
      <c r="G14" s="121"/>
      <c r="H14" s="121"/>
      <c r="I14" s="121"/>
      <c r="J14" s="121"/>
      <c r="K14" s="122"/>
      <c r="L14" s="38"/>
      <c r="M14" s="39" t="s">
        <v>45</v>
      </c>
      <c r="N14" s="39"/>
      <c r="O14" s="39"/>
      <c r="P14" s="51"/>
    </row>
    <row r="15" spans="2:22" ht="30" customHeight="1">
      <c r="B15" s="37">
        <v>5</v>
      </c>
      <c r="C15" s="120" t="s">
        <v>161</v>
      </c>
      <c r="D15" s="121"/>
      <c r="E15" s="121"/>
      <c r="F15" s="121"/>
      <c r="G15" s="121"/>
      <c r="H15" s="121"/>
      <c r="I15" s="121"/>
      <c r="J15" s="121"/>
      <c r="K15" s="122"/>
      <c r="L15" s="40"/>
      <c r="M15" s="39" t="s">
        <v>45</v>
      </c>
      <c r="N15" s="39"/>
      <c r="O15" s="39"/>
      <c r="P15" s="39"/>
    </row>
    <row r="16" spans="2:22" ht="28.5" customHeight="1">
      <c r="B16" s="37">
        <v>6</v>
      </c>
      <c r="C16" s="120" t="s">
        <v>162</v>
      </c>
      <c r="D16" s="121"/>
      <c r="E16" s="121"/>
      <c r="F16" s="121"/>
      <c r="G16" s="121"/>
      <c r="H16" s="121"/>
      <c r="I16" s="121"/>
      <c r="J16" s="121"/>
      <c r="K16" s="122"/>
      <c r="M16" s="39" t="s">
        <v>45</v>
      </c>
      <c r="N16" s="39"/>
      <c r="O16" s="39"/>
      <c r="P16" s="39"/>
    </row>
    <row r="17" spans="2:18" ht="30.75" customHeight="1">
      <c r="B17" s="37">
        <v>8</v>
      </c>
      <c r="C17" s="120" t="s">
        <v>163</v>
      </c>
      <c r="D17" s="121"/>
      <c r="E17" s="121"/>
      <c r="F17" s="121"/>
      <c r="G17" s="121"/>
      <c r="H17" s="121"/>
      <c r="I17" s="121"/>
      <c r="J17" s="121"/>
      <c r="K17" s="122"/>
      <c r="M17" s="39" t="s">
        <v>45</v>
      </c>
      <c r="N17" s="39"/>
      <c r="O17" s="39"/>
      <c r="P17" s="39"/>
    </row>
    <row r="18" spans="2:18" ht="33.75" customHeight="1">
      <c r="B18" s="37">
        <v>9</v>
      </c>
      <c r="C18" s="120" t="s">
        <v>563</v>
      </c>
      <c r="D18" s="180"/>
      <c r="E18" s="180"/>
      <c r="F18" s="180"/>
      <c r="G18" s="180"/>
      <c r="H18" s="180"/>
      <c r="I18" s="180"/>
      <c r="J18" s="180"/>
      <c r="K18" s="181"/>
      <c r="M18" s="39" t="s">
        <v>45</v>
      </c>
      <c r="N18" s="39"/>
      <c r="O18" s="39"/>
      <c r="P18" s="39"/>
    </row>
    <row r="19" spans="2:18" ht="33.75" customHeight="1">
      <c r="B19" s="37">
        <v>10</v>
      </c>
      <c r="C19" s="120" t="s">
        <v>564</v>
      </c>
      <c r="D19" s="180"/>
      <c r="E19" s="180"/>
      <c r="F19" s="180"/>
      <c r="G19" s="180"/>
      <c r="H19" s="180"/>
      <c r="I19" s="180"/>
      <c r="J19" s="180"/>
      <c r="K19" s="181"/>
      <c r="M19" s="39" t="s">
        <v>45</v>
      </c>
      <c r="N19" s="39"/>
      <c r="O19" s="39"/>
      <c r="P19" s="39"/>
    </row>
    <row r="20" spans="2:18" ht="33.75" customHeight="1">
      <c r="B20" s="37">
        <v>11</v>
      </c>
      <c r="C20" s="120" t="s">
        <v>566</v>
      </c>
      <c r="D20" s="180"/>
      <c r="E20" s="180"/>
      <c r="F20" s="180"/>
      <c r="G20" s="180"/>
      <c r="H20" s="180"/>
      <c r="I20" s="180"/>
      <c r="J20" s="180"/>
      <c r="K20" s="181"/>
      <c r="M20" s="39" t="s">
        <v>45</v>
      </c>
      <c r="N20" s="39"/>
      <c r="O20" s="39"/>
      <c r="P20" s="39"/>
    </row>
    <row r="21" spans="2:18" ht="33.75" customHeight="1">
      <c r="B21" s="37">
        <v>12</v>
      </c>
      <c r="C21" s="120" t="s">
        <v>565</v>
      </c>
      <c r="D21" s="180"/>
      <c r="E21" s="180"/>
      <c r="F21" s="180"/>
      <c r="G21" s="180"/>
      <c r="H21" s="180"/>
      <c r="I21" s="180"/>
      <c r="J21" s="180"/>
      <c r="K21" s="181"/>
      <c r="M21" s="39" t="s">
        <v>45</v>
      </c>
      <c r="N21" s="39"/>
      <c r="O21" s="39"/>
      <c r="P21" s="39"/>
    </row>
    <row r="22" spans="2:18" ht="30" customHeight="1">
      <c r="B22" s="37">
        <v>13</v>
      </c>
      <c r="C22" s="120" t="s">
        <v>568</v>
      </c>
      <c r="D22" s="180"/>
      <c r="E22" s="180"/>
      <c r="F22" s="180"/>
      <c r="G22" s="180"/>
      <c r="H22" s="180"/>
      <c r="I22" s="180"/>
      <c r="J22" s="180"/>
      <c r="K22" s="181"/>
      <c r="M22" s="39" t="s">
        <v>45</v>
      </c>
      <c r="N22" s="39"/>
      <c r="O22" s="39"/>
      <c r="P22" s="39"/>
    </row>
    <row r="23" spans="2:18" ht="33.75" customHeight="1">
      <c r="B23" s="37">
        <v>14</v>
      </c>
      <c r="C23" s="120" t="s">
        <v>569</v>
      </c>
      <c r="D23" s="180"/>
      <c r="E23" s="180"/>
      <c r="F23" s="180"/>
      <c r="G23" s="180"/>
      <c r="H23" s="180"/>
      <c r="I23" s="180"/>
      <c r="J23" s="180"/>
      <c r="K23" s="181"/>
      <c r="M23" s="39" t="s">
        <v>45</v>
      </c>
      <c r="N23" s="39"/>
      <c r="O23" s="39"/>
      <c r="P23" s="39"/>
    </row>
    <row r="24" spans="2:18" ht="32.25" customHeight="1">
      <c r="B24" s="37">
        <v>15</v>
      </c>
      <c r="C24" s="120" t="s">
        <v>570</v>
      </c>
      <c r="D24" s="180"/>
      <c r="E24" s="180"/>
      <c r="F24" s="180"/>
      <c r="G24" s="180"/>
      <c r="H24" s="180"/>
      <c r="I24" s="180"/>
      <c r="J24" s="180"/>
      <c r="K24" s="181"/>
      <c r="M24" s="39" t="s">
        <v>45</v>
      </c>
      <c r="N24" s="39"/>
      <c r="O24" s="39"/>
      <c r="P24" s="39"/>
      <c r="R24" s="191" t="s">
        <v>1148</v>
      </c>
    </row>
    <row r="25" spans="2:18" ht="31.5" customHeight="1">
      <c r="B25" s="37">
        <v>16</v>
      </c>
      <c r="C25" s="120" t="s">
        <v>571</v>
      </c>
      <c r="D25" s="180"/>
      <c r="E25" s="180"/>
      <c r="F25" s="180"/>
      <c r="G25" s="180"/>
      <c r="H25" s="180"/>
      <c r="I25" s="180"/>
      <c r="J25" s="180"/>
      <c r="K25" s="181"/>
      <c r="M25" s="39" t="s">
        <v>45</v>
      </c>
      <c r="N25" s="39"/>
      <c r="O25" s="39"/>
      <c r="P25" s="39"/>
    </row>
    <row r="26" spans="2:18" ht="31.5" customHeight="1">
      <c r="B26" s="37">
        <v>17</v>
      </c>
      <c r="C26" s="120" t="s">
        <v>572</v>
      </c>
      <c r="D26" s="180"/>
      <c r="E26" s="180"/>
      <c r="F26" s="180"/>
      <c r="G26" s="180"/>
      <c r="H26" s="180"/>
      <c r="I26" s="180"/>
      <c r="J26" s="180"/>
      <c r="K26" s="181"/>
      <c r="M26" s="39" t="s">
        <v>45</v>
      </c>
      <c r="N26" s="39"/>
      <c r="O26" s="39"/>
      <c r="P26" s="39"/>
      <c r="R26" s="191" t="s">
        <v>1148</v>
      </c>
    </row>
    <row r="27" spans="2:18" ht="32.25" customHeight="1">
      <c r="B27" s="37">
        <v>18</v>
      </c>
      <c r="C27" s="120"/>
      <c r="D27" s="180"/>
      <c r="E27" s="180"/>
      <c r="F27" s="180"/>
      <c r="G27" s="180"/>
      <c r="H27" s="180"/>
      <c r="I27" s="180"/>
      <c r="J27" s="180"/>
      <c r="K27" s="181"/>
      <c r="M27" s="39" t="s">
        <v>45</v>
      </c>
      <c r="N27" s="39"/>
      <c r="O27" s="39"/>
      <c r="P27" s="39"/>
    </row>
    <row r="28" spans="2:18" ht="39.75" customHeight="1">
      <c r="B28" s="37">
        <v>19</v>
      </c>
      <c r="C28" s="120" t="s">
        <v>575</v>
      </c>
      <c r="D28" s="121"/>
      <c r="E28" s="121"/>
      <c r="F28" s="121"/>
      <c r="G28" s="121"/>
      <c r="H28" s="121"/>
      <c r="I28" s="121"/>
      <c r="J28" s="121"/>
      <c r="K28" s="122"/>
      <c r="M28" s="39" t="s">
        <v>45</v>
      </c>
      <c r="N28" s="39"/>
      <c r="O28" s="39"/>
      <c r="P28" s="39"/>
    </row>
    <row r="29" spans="2:18" ht="66" customHeight="1">
      <c r="B29" s="37">
        <v>20</v>
      </c>
      <c r="C29" s="120" t="s">
        <v>576</v>
      </c>
      <c r="D29" s="121"/>
      <c r="E29" s="121"/>
      <c r="F29" s="121"/>
      <c r="G29" s="121"/>
      <c r="H29" s="121"/>
      <c r="I29" s="121"/>
      <c r="J29" s="121"/>
      <c r="K29" s="122"/>
      <c r="M29" s="39" t="s">
        <v>45</v>
      </c>
      <c r="N29" s="39"/>
      <c r="O29" s="39"/>
      <c r="P29" s="39"/>
    </row>
    <row r="30" spans="2:18" ht="31.5" customHeight="1">
      <c r="B30" s="37">
        <v>21</v>
      </c>
      <c r="C30" s="120" t="s">
        <v>577</v>
      </c>
      <c r="D30" s="121"/>
      <c r="E30" s="121"/>
      <c r="F30" s="121"/>
      <c r="G30" s="121"/>
      <c r="H30" s="121"/>
      <c r="I30" s="121"/>
      <c r="J30" s="121"/>
      <c r="K30" s="122"/>
      <c r="M30" s="39" t="s">
        <v>45</v>
      </c>
      <c r="N30" s="39"/>
      <c r="O30" s="39"/>
      <c r="P30" s="39"/>
    </row>
    <row r="31" spans="2:18" ht="30" customHeight="1">
      <c r="B31" s="37">
        <v>22</v>
      </c>
      <c r="C31" s="120" t="s">
        <v>166</v>
      </c>
      <c r="D31" s="121"/>
      <c r="E31" s="121"/>
      <c r="F31" s="121"/>
      <c r="G31" s="121"/>
      <c r="H31" s="121"/>
      <c r="I31" s="121"/>
      <c r="J31" s="121"/>
      <c r="K31" s="122"/>
      <c r="L31" s="40"/>
      <c r="M31" s="39" t="s">
        <v>45</v>
      </c>
      <c r="N31" s="39"/>
      <c r="O31" s="39"/>
      <c r="P31" s="39"/>
    </row>
    <row r="32" spans="2:18" ht="28.5" customHeight="1">
      <c r="B32" s="37">
        <v>23</v>
      </c>
      <c r="C32" s="120" t="s">
        <v>164</v>
      </c>
      <c r="D32" s="121"/>
      <c r="E32" s="121"/>
      <c r="F32" s="121"/>
      <c r="G32" s="121"/>
      <c r="H32" s="121"/>
      <c r="I32" s="121"/>
      <c r="J32" s="121"/>
      <c r="K32" s="122"/>
      <c r="L32" s="38"/>
      <c r="M32" s="39" t="s">
        <v>45</v>
      </c>
      <c r="N32" s="39"/>
      <c r="O32" s="39"/>
      <c r="P32" s="39"/>
    </row>
    <row r="33" spans="2:16" ht="28.5" customHeight="1">
      <c r="B33" s="37">
        <v>24</v>
      </c>
      <c r="C33" s="120" t="s">
        <v>165</v>
      </c>
      <c r="D33" s="121"/>
      <c r="E33" s="121"/>
      <c r="F33" s="121"/>
      <c r="G33" s="121"/>
      <c r="H33" s="121"/>
      <c r="I33" s="121"/>
      <c r="J33" s="121"/>
      <c r="K33" s="122"/>
      <c r="L33" s="40"/>
      <c r="M33" s="39" t="s">
        <v>45</v>
      </c>
      <c r="N33" s="39"/>
      <c r="O33" s="39"/>
      <c r="P33" s="39"/>
    </row>
    <row r="34" spans="2:16" ht="30" customHeight="1">
      <c r="B34" s="37">
        <v>25</v>
      </c>
      <c r="C34" s="120" t="s">
        <v>167</v>
      </c>
      <c r="D34" s="121"/>
      <c r="E34" s="121"/>
      <c r="F34" s="121"/>
      <c r="G34" s="121"/>
      <c r="H34" s="121"/>
      <c r="I34" s="121"/>
      <c r="J34" s="121"/>
      <c r="K34" s="122"/>
      <c r="M34" s="39" t="s">
        <v>45</v>
      </c>
      <c r="N34" s="39"/>
      <c r="O34" s="39"/>
      <c r="P34" s="39"/>
    </row>
    <row r="35" spans="2:16" ht="29.25" customHeight="1">
      <c r="B35" s="37">
        <v>26</v>
      </c>
      <c r="C35" s="120" t="s">
        <v>579</v>
      </c>
      <c r="D35" s="121"/>
      <c r="E35" s="121"/>
      <c r="F35" s="121"/>
      <c r="G35" s="121"/>
      <c r="H35" s="121"/>
      <c r="I35" s="121"/>
      <c r="J35" s="121"/>
      <c r="K35" s="122"/>
      <c r="M35" s="39" t="s">
        <v>45</v>
      </c>
      <c r="N35" s="39"/>
      <c r="O35" s="39"/>
      <c r="P35" s="39"/>
    </row>
    <row r="36" spans="2:16" ht="30" customHeight="1">
      <c r="B36" s="37">
        <v>27</v>
      </c>
      <c r="C36" s="120" t="s">
        <v>168</v>
      </c>
      <c r="D36" s="121"/>
      <c r="E36" s="121"/>
      <c r="F36" s="121"/>
      <c r="G36" s="121"/>
      <c r="H36" s="121"/>
      <c r="I36" s="121"/>
      <c r="J36" s="121"/>
      <c r="K36" s="122"/>
      <c r="L36" s="38"/>
      <c r="M36" s="39" t="s">
        <v>45</v>
      </c>
      <c r="N36" s="39"/>
      <c r="O36" s="39"/>
      <c r="P36" s="39"/>
    </row>
    <row r="37" spans="2:16" ht="31.5" customHeight="1">
      <c r="B37" s="37">
        <v>28</v>
      </c>
      <c r="C37" s="126" t="s">
        <v>1147</v>
      </c>
      <c r="D37" s="121"/>
      <c r="E37" s="121"/>
      <c r="F37" s="121"/>
      <c r="G37" s="121"/>
      <c r="H37" s="121"/>
      <c r="I37" s="121"/>
      <c r="J37" s="121"/>
      <c r="K37" s="122"/>
      <c r="L37" s="40"/>
      <c r="M37" s="39" t="s">
        <v>45</v>
      </c>
      <c r="N37" s="39"/>
      <c r="O37" s="39"/>
      <c r="P37" s="39"/>
    </row>
    <row r="38" spans="2:16" ht="32.25" customHeight="1">
      <c r="B38" s="37">
        <v>29</v>
      </c>
      <c r="C38" s="120" t="s">
        <v>532</v>
      </c>
      <c r="D38" s="121"/>
      <c r="E38" s="121"/>
      <c r="F38" s="121"/>
      <c r="G38" s="121"/>
      <c r="H38" s="121"/>
      <c r="I38" s="121"/>
      <c r="J38" s="121"/>
      <c r="K38" s="122"/>
      <c r="M38" s="39" t="s">
        <v>45</v>
      </c>
      <c r="N38" s="39"/>
      <c r="O38" s="39"/>
      <c r="P38" s="39"/>
    </row>
    <row r="39" spans="2:16" ht="32.25" customHeight="1">
      <c r="B39" s="37">
        <v>30</v>
      </c>
      <c r="C39" s="120" t="s">
        <v>672</v>
      </c>
      <c r="D39" s="121"/>
      <c r="E39" s="121"/>
      <c r="F39" s="121"/>
      <c r="G39" s="121"/>
      <c r="H39" s="121"/>
      <c r="I39" s="121"/>
      <c r="J39" s="121"/>
      <c r="K39" s="122"/>
      <c r="M39" s="39" t="s">
        <v>45</v>
      </c>
      <c r="N39" s="39"/>
      <c r="O39" s="39"/>
      <c r="P39" s="39"/>
    </row>
    <row r="40" spans="2:16" ht="31.5" customHeight="1">
      <c r="B40" s="37">
        <v>31</v>
      </c>
      <c r="C40" s="120" t="s">
        <v>169</v>
      </c>
      <c r="D40" s="121"/>
      <c r="E40" s="121"/>
      <c r="F40" s="121"/>
      <c r="G40" s="121"/>
      <c r="H40" s="121"/>
      <c r="I40" s="121"/>
      <c r="J40" s="121"/>
      <c r="K40" s="122"/>
      <c r="M40" s="39" t="s">
        <v>45</v>
      </c>
      <c r="N40" s="39"/>
      <c r="O40" s="39"/>
      <c r="P40" s="39"/>
    </row>
    <row r="41" spans="2:16" ht="32.25" customHeight="1">
      <c r="B41" s="37">
        <v>32</v>
      </c>
      <c r="C41" s="120" t="s">
        <v>170</v>
      </c>
      <c r="D41" s="121"/>
      <c r="E41" s="121"/>
      <c r="F41" s="121"/>
      <c r="G41" s="121"/>
      <c r="H41" s="121"/>
      <c r="I41" s="121"/>
      <c r="J41" s="121"/>
      <c r="K41" s="122"/>
      <c r="M41" s="39" t="s">
        <v>45</v>
      </c>
      <c r="N41" s="39"/>
      <c r="O41" s="39"/>
      <c r="P41" s="39"/>
    </row>
    <row r="42" spans="2:16" ht="32.25" customHeight="1">
      <c r="B42" s="37">
        <v>33</v>
      </c>
      <c r="C42" s="120" t="s">
        <v>171</v>
      </c>
      <c r="D42" s="121"/>
      <c r="E42" s="121"/>
      <c r="F42" s="121"/>
      <c r="G42" s="121"/>
      <c r="H42" s="121"/>
      <c r="I42" s="121"/>
      <c r="J42" s="121"/>
      <c r="K42" s="122"/>
      <c r="M42" s="39" t="s">
        <v>45</v>
      </c>
      <c r="N42" s="39"/>
      <c r="O42" s="39"/>
      <c r="P42" s="39"/>
    </row>
    <row r="43" spans="2:16" ht="32.25" customHeight="1">
      <c r="B43" s="37">
        <v>34</v>
      </c>
      <c r="C43" s="120" t="s">
        <v>172</v>
      </c>
      <c r="D43" s="121"/>
      <c r="E43" s="121"/>
      <c r="F43" s="121"/>
      <c r="G43" s="121"/>
      <c r="H43" s="121"/>
      <c r="I43" s="121"/>
      <c r="J43" s="121"/>
      <c r="K43" s="122"/>
      <c r="M43" s="39" t="s">
        <v>45</v>
      </c>
      <c r="N43" s="39"/>
      <c r="O43" s="39"/>
      <c r="P43" s="39"/>
    </row>
    <row r="44" spans="2:16" ht="30.75" customHeight="1">
      <c r="B44" s="37">
        <v>35</v>
      </c>
      <c r="C44" s="120" t="s">
        <v>173</v>
      </c>
      <c r="D44" s="121"/>
      <c r="E44" s="121"/>
      <c r="F44" s="121"/>
      <c r="G44" s="121"/>
      <c r="H44" s="121"/>
      <c r="I44" s="121"/>
      <c r="J44" s="121"/>
      <c r="K44" s="122"/>
      <c r="M44" s="39"/>
      <c r="N44" s="39" t="s">
        <v>45</v>
      </c>
      <c r="O44" s="39"/>
      <c r="P44" s="39"/>
    </row>
    <row r="45" spans="2:16" ht="31.5" customHeight="1">
      <c r="B45" s="37">
        <v>36</v>
      </c>
      <c r="C45" s="120" t="s">
        <v>174</v>
      </c>
      <c r="D45" s="121"/>
      <c r="E45" s="121"/>
      <c r="F45" s="121"/>
      <c r="G45" s="121"/>
      <c r="H45" s="121"/>
      <c r="I45" s="121"/>
      <c r="J45" s="121"/>
      <c r="K45" s="122"/>
      <c r="M45" s="39" t="s">
        <v>45</v>
      </c>
      <c r="N45" s="39"/>
      <c r="O45" s="39"/>
      <c r="P45" s="39"/>
    </row>
    <row r="46" spans="2:16" ht="30.75" customHeight="1">
      <c r="B46" s="37">
        <v>37</v>
      </c>
      <c r="C46" s="120" t="s">
        <v>175</v>
      </c>
      <c r="D46" s="121"/>
      <c r="E46" s="121"/>
      <c r="F46" s="121"/>
      <c r="G46" s="121"/>
      <c r="H46" s="121"/>
      <c r="I46" s="121"/>
      <c r="J46" s="121"/>
      <c r="K46" s="122"/>
      <c r="M46" s="39" t="s">
        <v>45</v>
      </c>
      <c r="N46" s="39"/>
      <c r="O46" s="39"/>
      <c r="P46" s="39"/>
    </row>
    <row r="47" spans="2:16" ht="31.5" customHeight="1">
      <c r="B47" s="37">
        <v>38</v>
      </c>
      <c r="C47" s="120" t="s">
        <v>176</v>
      </c>
      <c r="D47" s="121"/>
      <c r="E47" s="121"/>
      <c r="F47" s="121"/>
      <c r="G47" s="121"/>
      <c r="H47" s="121"/>
      <c r="I47" s="121"/>
      <c r="J47" s="121"/>
      <c r="K47" s="122"/>
      <c r="M47" s="39" t="s">
        <v>45</v>
      </c>
      <c r="N47" s="39"/>
      <c r="O47" s="39"/>
      <c r="P47" s="39"/>
    </row>
    <row r="48" spans="2:16" ht="33" customHeight="1">
      <c r="B48" s="37">
        <v>39</v>
      </c>
      <c r="C48" s="120" t="s">
        <v>177</v>
      </c>
      <c r="D48" s="121"/>
      <c r="E48" s="121"/>
      <c r="F48" s="121"/>
      <c r="G48" s="121"/>
      <c r="H48" s="121"/>
      <c r="I48" s="121"/>
      <c r="J48" s="121"/>
      <c r="K48" s="122"/>
      <c r="M48" s="39" t="s">
        <v>45</v>
      </c>
      <c r="N48" s="39"/>
      <c r="O48" s="39"/>
      <c r="P48" s="39"/>
    </row>
    <row r="49" spans="2:16" ht="30" customHeight="1">
      <c r="B49" s="37"/>
      <c r="C49" s="120"/>
      <c r="D49" s="121"/>
      <c r="E49" s="121"/>
      <c r="F49" s="121"/>
      <c r="G49" s="121"/>
      <c r="H49" s="121"/>
      <c r="I49" s="121"/>
      <c r="J49" s="121"/>
      <c r="K49" s="122"/>
      <c r="M49" s="39"/>
      <c r="N49" s="39"/>
      <c r="O49" s="39"/>
      <c r="P49" s="39"/>
    </row>
    <row r="50" spans="2:16" ht="30" customHeight="1">
      <c r="B50" s="37"/>
      <c r="C50" s="120"/>
      <c r="D50" s="121"/>
      <c r="E50" s="121"/>
      <c r="F50" s="121"/>
      <c r="G50" s="121"/>
      <c r="H50" s="121"/>
      <c r="I50" s="121"/>
      <c r="J50" s="121"/>
      <c r="K50" s="122"/>
      <c r="M50" s="39"/>
      <c r="N50" s="39"/>
      <c r="O50" s="39"/>
      <c r="P50" s="39"/>
    </row>
    <row r="51" spans="2:16" ht="14.25" customHeight="1"/>
    <row r="52" spans="2:16" ht="14.25" customHeight="1"/>
    <row r="53" spans="2:16" ht="14.25" customHeight="1"/>
    <row r="54" spans="2:16" ht="14.25" customHeight="1"/>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mergeCells count="47">
    <mergeCell ref="C17:K17"/>
    <mergeCell ref="C18:K18"/>
    <mergeCell ref="C19:K19"/>
    <mergeCell ref="C14:K14"/>
    <mergeCell ref="C15:K15"/>
    <mergeCell ref="C16:K16"/>
    <mergeCell ref="C2:G2"/>
    <mergeCell ref="C3:G3"/>
    <mergeCell ref="C4:G4"/>
    <mergeCell ref="B5:C5"/>
    <mergeCell ref="C13:K13"/>
    <mergeCell ref="M8:O8"/>
    <mergeCell ref="P8:P9"/>
    <mergeCell ref="D9:I9"/>
    <mergeCell ref="C11:E11"/>
    <mergeCell ref="C12:K12"/>
    <mergeCell ref="C31:K31"/>
    <mergeCell ref="C32:K32"/>
    <mergeCell ref="C30:K30"/>
    <mergeCell ref="C22:K22"/>
    <mergeCell ref="C23:K23"/>
    <mergeCell ref="C25:K25"/>
    <mergeCell ref="C29:K29"/>
    <mergeCell ref="C28:K28"/>
    <mergeCell ref="C20:K20"/>
    <mergeCell ref="C21:K21"/>
    <mergeCell ref="C24:K24"/>
    <mergeCell ref="C26:K26"/>
    <mergeCell ref="C27:K27"/>
    <mergeCell ref="C33:K33"/>
    <mergeCell ref="C34:K34"/>
    <mergeCell ref="C35:K35"/>
    <mergeCell ref="C36:K36"/>
    <mergeCell ref="C37:K37"/>
    <mergeCell ref="C38:K38"/>
    <mergeCell ref="C39:K39"/>
    <mergeCell ref="C40:K40"/>
    <mergeCell ref="C41:K41"/>
    <mergeCell ref="C42:K42"/>
    <mergeCell ref="C48:K48"/>
    <mergeCell ref="C49:K49"/>
    <mergeCell ref="C50:K50"/>
    <mergeCell ref="C43:K43"/>
    <mergeCell ref="C44:K44"/>
    <mergeCell ref="C45:K45"/>
    <mergeCell ref="C46:K46"/>
    <mergeCell ref="C47:K47"/>
  </mergeCells>
  <hyperlinks>
    <hyperlink ref="V2" location="'REQ. FUN. GEN'!A1" display="Volver" xr:uid="{00000000-0004-0000-0800-000000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1001"/>
  <sheetViews>
    <sheetView topLeftCell="A38" workbookViewId="0">
      <selection activeCell="P13" sqref="P13"/>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35" t="s">
        <v>32</v>
      </c>
      <c r="D2" s="136"/>
      <c r="E2" s="136"/>
      <c r="F2" s="136"/>
      <c r="G2" s="136"/>
      <c r="V2" s="78"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32"/>
      <c r="D9" s="129" t="s">
        <v>178</v>
      </c>
      <c r="E9" s="130"/>
      <c r="F9" s="130"/>
      <c r="G9" s="130"/>
      <c r="H9" s="130"/>
      <c r="I9" s="131"/>
      <c r="J9" s="32"/>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79" t="s">
        <v>1107</v>
      </c>
      <c r="D12" s="121"/>
      <c r="E12" s="121"/>
      <c r="F12" s="121"/>
      <c r="G12" s="121"/>
      <c r="H12" s="121"/>
      <c r="I12" s="121"/>
      <c r="J12" s="121"/>
      <c r="K12" s="122"/>
      <c r="L12" s="38"/>
      <c r="M12" s="75" t="s">
        <v>45</v>
      </c>
      <c r="N12" s="39"/>
      <c r="O12" s="39"/>
      <c r="P12" s="39"/>
    </row>
    <row r="13" spans="2:22" ht="30" customHeight="1">
      <c r="B13" s="58">
        <v>2</v>
      </c>
      <c r="C13" s="126" t="s">
        <v>1108</v>
      </c>
      <c r="D13" s="121"/>
      <c r="E13" s="121"/>
      <c r="F13" s="121"/>
      <c r="G13" s="121"/>
      <c r="H13" s="121"/>
      <c r="I13" s="121"/>
      <c r="J13" s="121"/>
      <c r="K13" s="122"/>
      <c r="L13" s="59"/>
      <c r="M13" s="75" t="s">
        <v>45</v>
      </c>
      <c r="N13" s="39"/>
      <c r="O13" s="39"/>
      <c r="P13" s="39"/>
    </row>
    <row r="14" spans="2:22" ht="30" customHeight="1">
      <c r="B14" s="58">
        <v>3</v>
      </c>
      <c r="C14" s="126" t="s">
        <v>1109</v>
      </c>
      <c r="D14" s="121"/>
      <c r="E14" s="121"/>
      <c r="F14" s="121"/>
      <c r="G14" s="121"/>
      <c r="H14" s="121"/>
      <c r="I14" s="121"/>
      <c r="J14" s="121"/>
      <c r="K14" s="122"/>
      <c r="L14" s="59"/>
      <c r="M14" s="75" t="s">
        <v>45</v>
      </c>
      <c r="N14" s="39"/>
      <c r="O14" s="39"/>
      <c r="P14" s="39"/>
    </row>
    <row r="15" spans="2:22" ht="30" customHeight="1">
      <c r="B15" s="37">
        <v>4</v>
      </c>
      <c r="C15" s="179" t="s">
        <v>1110</v>
      </c>
      <c r="D15" s="121"/>
      <c r="E15" s="121"/>
      <c r="F15" s="121"/>
      <c r="G15" s="121"/>
      <c r="H15" s="121"/>
      <c r="I15" s="121"/>
      <c r="J15" s="121"/>
      <c r="K15" s="122"/>
      <c r="L15" s="59"/>
      <c r="M15" s="75" t="s">
        <v>45</v>
      </c>
      <c r="N15" s="39"/>
      <c r="O15" s="39"/>
      <c r="P15" s="39"/>
    </row>
    <row r="16" spans="2:22" ht="30" customHeight="1">
      <c r="B16" s="58">
        <v>5</v>
      </c>
      <c r="C16" s="126" t="s">
        <v>1111</v>
      </c>
      <c r="D16" s="121"/>
      <c r="E16" s="121"/>
      <c r="F16" s="121"/>
      <c r="G16" s="121"/>
      <c r="H16" s="121"/>
      <c r="I16" s="121"/>
      <c r="J16" s="121"/>
      <c r="K16" s="122"/>
      <c r="L16" s="59"/>
      <c r="M16" s="75" t="s">
        <v>45</v>
      </c>
      <c r="N16" s="39"/>
      <c r="O16" s="39"/>
      <c r="P16" s="39"/>
    </row>
    <row r="17" spans="2:16" ht="30" customHeight="1">
      <c r="B17" s="58">
        <v>6</v>
      </c>
      <c r="C17" s="126" t="s">
        <v>1112</v>
      </c>
      <c r="D17" s="121"/>
      <c r="E17" s="121"/>
      <c r="F17" s="121"/>
      <c r="G17" s="121"/>
      <c r="H17" s="121"/>
      <c r="I17" s="121"/>
      <c r="J17" s="121"/>
      <c r="K17" s="122"/>
      <c r="L17" s="59"/>
      <c r="M17" s="75" t="s">
        <v>45</v>
      </c>
      <c r="N17" s="39"/>
      <c r="O17" s="39"/>
      <c r="P17" s="39"/>
    </row>
    <row r="18" spans="2:16" ht="30" customHeight="1">
      <c r="B18" s="37">
        <v>7</v>
      </c>
      <c r="C18" s="126" t="s">
        <v>1113</v>
      </c>
      <c r="D18" s="121"/>
      <c r="E18" s="121"/>
      <c r="F18" s="121"/>
      <c r="G18" s="121"/>
      <c r="H18" s="121"/>
      <c r="I18" s="121"/>
      <c r="J18" s="121"/>
      <c r="K18" s="122"/>
      <c r="L18" s="59"/>
      <c r="M18" s="75" t="s">
        <v>45</v>
      </c>
      <c r="N18" s="39"/>
      <c r="O18" s="39"/>
      <c r="P18" s="39"/>
    </row>
    <row r="19" spans="2:16" ht="30" customHeight="1">
      <c r="B19" s="58">
        <v>8</v>
      </c>
      <c r="C19" s="126" t="s">
        <v>1114</v>
      </c>
      <c r="D19" s="121"/>
      <c r="E19" s="121"/>
      <c r="F19" s="121"/>
      <c r="G19" s="121"/>
      <c r="H19" s="121"/>
      <c r="I19" s="121"/>
      <c r="J19" s="121"/>
      <c r="K19" s="122"/>
      <c r="L19" s="59"/>
      <c r="M19" s="75" t="s">
        <v>45</v>
      </c>
      <c r="N19" s="39"/>
      <c r="O19" s="39"/>
      <c r="P19" s="39"/>
    </row>
    <row r="20" spans="2:16" ht="30" customHeight="1">
      <c r="B20" s="58">
        <v>9</v>
      </c>
      <c r="C20" s="126" t="s">
        <v>1115</v>
      </c>
      <c r="D20" s="121"/>
      <c r="E20" s="121"/>
      <c r="F20" s="121"/>
      <c r="G20" s="121"/>
      <c r="H20" s="121"/>
      <c r="I20" s="121"/>
      <c r="J20" s="121"/>
      <c r="K20" s="122"/>
      <c r="L20" s="59"/>
      <c r="M20" s="75" t="s">
        <v>45</v>
      </c>
      <c r="N20" s="39"/>
      <c r="O20" s="39"/>
      <c r="P20" s="39"/>
    </row>
    <row r="21" spans="2:16" ht="30" customHeight="1">
      <c r="B21" s="37">
        <v>10</v>
      </c>
      <c r="C21" s="126" t="s">
        <v>1116</v>
      </c>
      <c r="D21" s="121"/>
      <c r="E21" s="121"/>
      <c r="F21" s="121"/>
      <c r="G21" s="121"/>
      <c r="H21" s="121"/>
      <c r="I21" s="121"/>
      <c r="J21" s="121"/>
      <c r="K21" s="122"/>
      <c r="L21" s="59"/>
      <c r="M21" s="75" t="s">
        <v>45</v>
      </c>
      <c r="N21" s="39"/>
      <c r="O21" s="39"/>
      <c r="P21" s="39"/>
    </row>
    <row r="22" spans="2:16" ht="30" customHeight="1">
      <c r="B22" s="58">
        <v>11</v>
      </c>
      <c r="C22" s="126" t="s">
        <v>1117</v>
      </c>
      <c r="D22" s="121"/>
      <c r="E22" s="121"/>
      <c r="F22" s="121"/>
      <c r="G22" s="121"/>
      <c r="H22" s="121"/>
      <c r="I22" s="121"/>
      <c r="J22" s="121"/>
      <c r="K22" s="122"/>
      <c r="L22" s="59"/>
      <c r="M22" s="75" t="s">
        <v>45</v>
      </c>
      <c r="N22" s="39"/>
      <c r="O22" s="39"/>
      <c r="P22" s="39"/>
    </row>
    <row r="23" spans="2:16" ht="30" customHeight="1">
      <c r="B23" s="58">
        <v>12</v>
      </c>
      <c r="C23" s="126" t="s">
        <v>1118</v>
      </c>
      <c r="D23" s="121"/>
      <c r="E23" s="121"/>
      <c r="F23" s="121"/>
      <c r="G23" s="121"/>
      <c r="H23" s="121"/>
      <c r="I23" s="121"/>
      <c r="J23" s="121"/>
      <c r="K23" s="122"/>
      <c r="L23" s="59"/>
      <c r="M23" s="75" t="s">
        <v>45</v>
      </c>
      <c r="N23" s="39"/>
      <c r="O23" s="39"/>
      <c r="P23" s="39"/>
    </row>
    <row r="24" spans="2:16" ht="30" customHeight="1">
      <c r="B24" s="37">
        <v>13</v>
      </c>
      <c r="C24" s="126" t="s">
        <v>1119</v>
      </c>
      <c r="D24" s="121"/>
      <c r="E24" s="121"/>
      <c r="F24" s="121"/>
      <c r="G24" s="121"/>
      <c r="H24" s="121"/>
      <c r="I24" s="121"/>
      <c r="J24" s="121"/>
      <c r="K24" s="122"/>
      <c r="L24" s="59"/>
      <c r="M24" s="75" t="s">
        <v>45</v>
      </c>
      <c r="N24" s="39"/>
      <c r="O24" s="39"/>
      <c r="P24" s="39"/>
    </row>
    <row r="25" spans="2:16" ht="30" customHeight="1">
      <c r="B25" s="58">
        <v>14</v>
      </c>
      <c r="C25" s="126" t="s">
        <v>1120</v>
      </c>
      <c r="D25" s="121"/>
      <c r="E25" s="121"/>
      <c r="F25" s="121"/>
      <c r="G25" s="121"/>
      <c r="H25" s="121"/>
      <c r="I25" s="121"/>
      <c r="J25" s="121"/>
      <c r="K25" s="122"/>
      <c r="L25" s="59"/>
      <c r="M25" s="75" t="s">
        <v>45</v>
      </c>
      <c r="N25" s="39"/>
      <c r="O25" s="39"/>
      <c r="P25" s="39"/>
    </row>
    <row r="26" spans="2:16" ht="30" customHeight="1">
      <c r="B26" s="58">
        <v>15</v>
      </c>
      <c r="C26" s="126" t="s">
        <v>1121</v>
      </c>
      <c r="D26" s="121"/>
      <c r="E26" s="121"/>
      <c r="F26" s="121"/>
      <c r="G26" s="121"/>
      <c r="H26" s="121"/>
      <c r="I26" s="121"/>
      <c r="J26" s="121"/>
      <c r="K26" s="122"/>
      <c r="L26" s="59"/>
      <c r="M26" s="75" t="s">
        <v>45</v>
      </c>
      <c r="N26" s="39"/>
      <c r="O26" s="39"/>
      <c r="P26" s="39"/>
    </row>
    <row r="27" spans="2:16" ht="30" customHeight="1">
      <c r="B27" s="37">
        <v>16</v>
      </c>
      <c r="C27" s="126" t="s">
        <v>1122</v>
      </c>
      <c r="D27" s="121"/>
      <c r="E27" s="121"/>
      <c r="F27" s="121"/>
      <c r="G27" s="121"/>
      <c r="H27" s="121"/>
      <c r="I27" s="121"/>
      <c r="J27" s="121"/>
      <c r="K27" s="122"/>
      <c r="L27" s="59"/>
      <c r="M27" s="75" t="s">
        <v>45</v>
      </c>
      <c r="N27" s="39"/>
      <c r="O27" s="39"/>
      <c r="P27" s="39"/>
    </row>
    <row r="28" spans="2:16" ht="30" customHeight="1">
      <c r="B28" s="58">
        <v>17</v>
      </c>
      <c r="C28" s="126" t="s">
        <v>1123</v>
      </c>
      <c r="D28" s="121"/>
      <c r="E28" s="121"/>
      <c r="F28" s="121"/>
      <c r="G28" s="121"/>
      <c r="H28" s="121"/>
      <c r="I28" s="121"/>
      <c r="J28" s="121"/>
      <c r="K28" s="122"/>
      <c r="L28" s="59"/>
      <c r="M28" s="75" t="s">
        <v>45</v>
      </c>
      <c r="N28" s="39"/>
      <c r="O28" s="39"/>
      <c r="P28" s="39"/>
    </row>
    <row r="29" spans="2:16" ht="30" customHeight="1">
      <c r="B29" s="58">
        <v>18</v>
      </c>
      <c r="C29" s="126" t="s">
        <v>1124</v>
      </c>
      <c r="D29" s="121"/>
      <c r="E29" s="121"/>
      <c r="F29" s="121"/>
      <c r="G29" s="121"/>
      <c r="H29" s="121"/>
      <c r="I29" s="121"/>
      <c r="J29" s="121"/>
      <c r="K29" s="122"/>
      <c r="L29" s="59"/>
      <c r="M29" s="75" t="s">
        <v>45</v>
      </c>
      <c r="N29" s="39"/>
      <c r="O29" s="39"/>
      <c r="P29" s="39"/>
    </row>
    <row r="30" spans="2:16" ht="30" customHeight="1">
      <c r="B30" s="37">
        <v>19</v>
      </c>
      <c r="C30" s="126" t="s">
        <v>1125</v>
      </c>
      <c r="D30" s="121"/>
      <c r="E30" s="121"/>
      <c r="F30" s="121"/>
      <c r="G30" s="121"/>
      <c r="H30" s="121"/>
      <c r="I30" s="121"/>
      <c r="J30" s="121"/>
      <c r="K30" s="122"/>
      <c r="L30" s="59"/>
      <c r="M30" s="75" t="s">
        <v>45</v>
      </c>
      <c r="N30" s="39"/>
      <c r="O30" s="39"/>
      <c r="P30" s="39"/>
    </row>
    <row r="31" spans="2:16" ht="30" customHeight="1">
      <c r="B31" s="58">
        <v>20</v>
      </c>
      <c r="C31" s="126" t="s">
        <v>1126</v>
      </c>
      <c r="D31" s="121"/>
      <c r="E31" s="121"/>
      <c r="F31" s="121"/>
      <c r="G31" s="121"/>
      <c r="H31" s="121"/>
      <c r="I31" s="121"/>
      <c r="J31" s="121"/>
      <c r="K31" s="122"/>
      <c r="L31" s="59"/>
      <c r="M31" s="75" t="s">
        <v>45</v>
      </c>
      <c r="N31" s="39"/>
      <c r="O31" s="39"/>
      <c r="P31" s="39"/>
    </row>
    <row r="32" spans="2:16" ht="30" customHeight="1">
      <c r="B32" s="58">
        <v>21</v>
      </c>
      <c r="C32" s="126" t="s">
        <v>1127</v>
      </c>
      <c r="D32" s="121"/>
      <c r="E32" s="121"/>
      <c r="F32" s="121"/>
      <c r="G32" s="121"/>
      <c r="H32" s="121"/>
      <c r="I32" s="121"/>
      <c r="J32" s="121"/>
      <c r="K32" s="122"/>
      <c r="L32" s="59"/>
      <c r="M32" s="75" t="s">
        <v>45</v>
      </c>
      <c r="N32" s="39"/>
      <c r="O32" s="39"/>
      <c r="P32" s="39"/>
    </row>
    <row r="33" spans="2:16" ht="30" customHeight="1">
      <c r="B33" s="37">
        <v>22</v>
      </c>
      <c r="C33" s="126" t="s">
        <v>1128</v>
      </c>
      <c r="D33" s="121"/>
      <c r="E33" s="121"/>
      <c r="F33" s="121"/>
      <c r="G33" s="121"/>
      <c r="H33" s="121"/>
      <c r="I33" s="121"/>
      <c r="J33" s="121"/>
      <c r="K33" s="122"/>
      <c r="M33" s="75" t="s">
        <v>45</v>
      </c>
      <c r="N33" s="39"/>
      <c r="O33" s="39"/>
      <c r="P33" s="39"/>
    </row>
    <row r="34" spans="2:16" ht="30" customHeight="1">
      <c r="B34" s="58">
        <v>23</v>
      </c>
      <c r="C34" s="126" t="s">
        <v>1129</v>
      </c>
      <c r="D34" s="121"/>
      <c r="E34" s="121"/>
      <c r="F34" s="121"/>
      <c r="G34" s="121"/>
      <c r="H34" s="121"/>
      <c r="I34" s="121"/>
      <c r="J34" s="121"/>
      <c r="K34" s="122"/>
      <c r="M34" s="75" t="s">
        <v>45</v>
      </c>
      <c r="N34" s="39"/>
      <c r="O34" s="39"/>
      <c r="P34" s="39"/>
    </row>
    <row r="35" spans="2:16" ht="30" customHeight="1">
      <c r="B35" s="58">
        <v>24</v>
      </c>
      <c r="C35" s="126" t="s">
        <v>1130</v>
      </c>
      <c r="D35" s="121"/>
      <c r="E35" s="121"/>
      <c r="F35" s="121"/>
      <c r="G35" s="121"/>
      <c r="H35" s="121"/>
      <c r="I35" s="121"/>
      <c r="J35" s="121"/>
      <c r="K35" s="122"/>
      <c r="L35" s="38"/>
      <c r="M35" s="75" t="s">
        <v>45</v>
      </c>
      <c r="N35" s="39"/>
      <c r="O35" s="39"/>
      <c r="P35" s="39"/>
    </row>
    <row r="36" spans="2:16" ht="30" customHeight="1">
      <c r="B36" s="37">
        <v>25</v>
      </c>
      <c r="C36" s="126" t="s">
        <v>1131</v>
      </c>
      <c r="D36" s="121"/>
      <c r="E36" s="121"/>
      <c r="F36" s="121"/>
      <c r="G36" s="121"/>
      <c r="H36" s="121"/>
      <c r="I36" s="121"/>
      <c r="J36" s="121"/>
      <c r="K36" s="122"/>
      <c r="M36" s="75" t="s">
        <v>45</v>
      </c>
      <c r="N36" s="39"/>
      <c r="O36" s="39"/>
      <c r="P36" s="39"/>
    </row>
    <row r="37" spans="2:16" ht="30" customHeight="1">
      <c r="B37" s="58">
        <v>26</v>
      </c>
      <c r="C37" s="126" t="s">
        <v>1132</v>
      </c>
      <c r="D37" s="121"/>
      <c r="E37" s="121"/>
      <c r="F37" s="121"/>
      <c r="G37" s="121"/>
      <c r="H37" s="121"/>
      <c r="I37" s="121"/>
      <c r="J37" s="121"/>
      <c r="K37" s="122"/>
      <c r="M37" s="75" t="s">
        <v>45</v>
      </c>
      <c r="N37" s="39"/>
      <c r="O37" s="39"/>
      <c r="P37" s="39"/>
    </row>
    <row r="38" spans="2:16" ht="30" customHeight="1">
      <c r="B38" s="58">
        <v>27</v>
      </c>
      <c r="C38" s="126" t="s">
        <v>1133</v>
      </c>
      <c r="D38" s="121"/>
      <c r="E38" s="121"/>
      <c r="F38" s="121"/>
      <c r="G38" s="121"/>
      <c r="H38" s="121"/>
      <c r="I38" s="121"/>
      <c r="J38" s="121"/>
      <c r="K38" s="122"/>
      <c r="L38" s="38"/>
      <c r="M38" s="75" t="s">
        <v>45</v>
      </c>
      <c r="N38" s="39"/>
      <c r="O38" s="39"/>
      <c r="P38" s="39"/>
    </row>
    <row r="39" spans="2:16" ht="30" customHeight="1">
      <c r="B39" s="37">
        <v>28</v>
      </c>
      <c r="C39" s="126" t="s">
        <v>1134</v>
      </c>
      <c r="D39" s="121"/>
      <c r="E39" s="121"/>
      <c r="F39" s="121"/>
      <c r="G39" s="121"/>
      <c r="H39" s="121"/>
      <c r="I39" s="121"/>
      <c r="J39" s="121"/>
      <c r="K39" s="122"/>
      <c r="L39" s="40"/>
      <c r="M39" s="75" t="s">
        <v>45</v>
      </c>
      <c r="N39" s="39"/>
      <c r="O39" s="39"/>
      <c r="P39" s="39"/>
    </row>
    <row r="40" spans="2:16" ht="30" customHeight="1">
      <c r="B40" s="58">
        <v>29</v>
      </c>
      <c r="C40" s="126" t="s">
        <v>1135</v>
      </c>
      <c r="D40" s="121"/>
      <c r="E40" s="121"/>
      <c r="F40" s="121"/>
      <c r="G40" s="121"/>
      <c r="H40" s="121"/>
      <c r="I40" s="121"/>
      <c r="J40" s="121"/>
      <c r="K40" s="122"/>
      <c r="M40" s="75" t="s">
        <v>45</v>
      </c>
      <c r="N40" s="39"/>
      <c r="O40" s="39"/>
      <c r="P40" s="39"/>
    </row>
    <row r="41" spans="2:16" ht="30" customHeight="1">
      <c r="B41" s="58">
        <v>30</v>
      </c>
      <c r="C41" s="126" t="s">
        <v>1136</v>
      </c>
      <c r="D41" s="121"/>
      <c r="E41" s="121"/>
      <c r="F41" s="121"/>
      <c r="G41" s="121"/>
      <c r="H41" s="121"/>
      <c r="I41" s="121"/>
      <c r="J41" s="121"/>
      <c r="K41" s="122"/>
      <c r="M41" s="75" t="s">
        <v>45</v>
      </c>
      <c r="N41" s="39"/>
      <c r="O41" s="39"/>
      <c r="P41" s="39"/>
    </row>
    <row r="42" spans="2:16" ht="30" customHeight="1">
      <c r="B42" s="37">
        <v>31</v>
      </c>
      <c r="C42" s="126" t="s">
        <v>1137</v>
      </c>
      <c r="D42" s="121"/>
      <c r="E42" s="121"/>
      <c r="F42" s="121"/>
      <c r="G42" s="121"/>
      <c r="H42" s="121"/>
      <c r="I42" s="121"/>
      <c r="J42" s="121"/>
      <c r="K42" s="122"/>
      <c r="L42" s="38"/>
      <c r="M42" s="75" t="s">
        <v>45</v>
      </c>
      <c r="N42" s="39"/>
      <c r="O42" s="39"/>
      <c r="P42" s="39"/>
    </row>
    <row r="43" spans="2:16" ht="30" customHeight="1">
      <c r="B43" s="58">
        <v>32</v>
      </c>
      <c r="C43" s="126" t="s">
        <v>1138</v>
      </c>
      <c r="D43" s="121"/>
      <c r="E43" s="121"/>
      <c r="F43" s="121"/>
      <c r="G43" s="121"/>
      <c r="H43" s="121"/>
      <c r="I43" s="121"/>
      <c r="J43" s="121"/>
      <c r="K43" s="122"/>
      <c r="L43" s="40"/>
      <c r="M43" s="75" t="s">
        <v>45</v>
      </c>
      <c r="N43" s="39"/>
      <c r="O43" s="39"/>
      <c r="P43" s="39"/>
    </row>
    <row r="44" spans="2:16" ht="30" customHeight="1">
      <c r="B44" s="58">
        <v>33</v>
      </c>
      <c r="C44" s="126" t="s">
        <v>1139</v>
      </c>
      <c r="D44" s="121"/>
      <c r="E44" s="121"/>
      <c r="F44" s="121"/>
      <c r="G44" s="121"/>
      <c r="H44" s="121"/>
      <c r="I44" s="121"/>
      <c r="J44" s="121"/>
      <c r="K44" s="122"/>
      <c r="M44" s="75" t="s">
        <v>45</v>
      </c>
      <c r="N44" s="39"/>
      <c r="O44" s="39"/>
      <c r="P44" s="39"/>
    </row>
    <row r="45" spans="2:16" ht="30" customHeight="1">
      <c r="B45" s="37">
        <v>34</v>
      </c>
      <c r="C45" s="126" t="s">
        <v>1140</v>
      </c>
      <c r="D45" s="121"/>
      <c r="E45" s="121"/>
      <c r="F45" s="121"/>
      <c r="G45" s="121"/>
      <c r="H45" s="121"/>
      <c r="I45" s="121"/>
      <c r="J45" s="121"/>
      <c r="K45" s="122"/>
      <c r="M45" s="75" t="s">
        <v>45</v>
      </c>
      <c r="N45" s="39"/>
      <c r="O45" s="39"/>
      <c r="P45" s="39"/>
    </row>
    <row r="46" spans="2:16" ht="30" customHeight="1">
      <c r="B46" s="58">
        <v>35</v>
      </c>
      <c r="C46" s="126" t="s">
        <v>1141</v>
      </c>
      <c r="D46" s="121"/>
      <c r="E46" s="121"/>
      <c r="F46" s="121"/>
      <c r="G46" s="121"/>
      <c r="H46" s="121"/>
      <c r="I46" s="121"/>
      <c r="J46" s="121"/>
      <c r="K46" s="122"/>
      <c r="M46" s="75" t="s">
        <v>45</v>
      </c>
      <c r="N46" s="39"/>
      <c r="O46" s="39"/>
      <c r="P46" s="39"/>
    </row>
    <row r="47" spans="2:16" ht="30" customHeight="1">
      <c r="B47" s="58">
        <v>36</v>
      </c>
      <c r="C47" s="126" t="s">
        <v>1142</v>
      </c>
      <c r="D47" s="121"/>
      <c r="E47" s="121"/>
      <c r="F47" s="121"/>
      <c r="G47" s="121"/>
      <c r="H47" s="121"/>
      <c r="I47" s="121"/>
      <c r="J47" s="121"/>
      <c r="K47" s="122"/>
      <c r="M47" s="75" t="s">
        <v>45</v>
      </c>
      <c r="N47" s="39"/>
      <c r="O47" s="39"/>
      <c r="P47" s="39"/>
    </row>
    <row r="48" spans="2:16" ht="30" customHeight="1">
      <c r="B48" s="37">
        <v>37</v>
      </c>
      <c r="C48" s="179" t="s">
        <v>1143</v>
      </c>
      <c r="D48" s="121"/>
      <c r="E48" s="121"/>
      <c r="F48" s="121"/>
      <c r="G48" s="121"/>
      <c r="H48" s="121"/>
      <c r="I48" s="121"/>
      <c r="J48" s="121"/>
      <c r="K48" s="122"/>
      <c r="M48" s="75" t="s">
        <v>45</v>
      </c>
      <c r="N48" s="39"/>
      <c r="O48" s="39"/>
      <c r="P48" s="39"/>
    </row>
    <row r="49" spans="2:16" ht="30" customHeight="1">
      <c r="B49" s="58">
        <v>38</v>
      </c>
      <c r="C49" s="126" t="s">
        <v>1144</v>
      </c>
      <c r="D49" s="121"/>
      <c r="E49" s="121"/>
      <c r="F49" s="121"/>
      <c r="G49" s="121"/>
      <c r="H49" s="121"/>
      <c r="I49" s="121"/>
      <c r="J49" s="121"/>
      <c r="K49" s="122"/>
      <c r="M49" s="75" t="s">
        <v>45</v>
      </c>
      <c r="N49" s="39"/>
      <c r="O49" s="39"/>
      <c r="P49" s="39"/>
    </row>
    <row r="50" spans="2:16" ht="30" customHeight="1">
      <c r="B50" s="58">
        <v>39</v>
      </c>
      <c r="C50" s="126" t="s">
        <v>1145</v>
      </c>
      <c r="D50" s="121"/>
      <c r="E50" s="121"/>
      <c r="F50" s="121"/>
      <c r="G50" s="121"/>
      <c r="H50" s="121"/>
      <c r="I50" s="121"/>
      <c r="J50" s="121"/>
      <c r="K50" s="122"/>
      <c r="M50" s="75" t="s">
        <v>45</v>
      </c>
      <c r="N50" s="39"/>
      <c r="O50" s="39"/>
      <c r="P50" s="39"/>
    </row>
    <row r="51" spans="2:16" ht="30" customHeight="1">
      <c r="B51" s="37">
        <v>40</v>
      </c>
      <c r="C51" s="126" t="s">
        <v>1146</v>
      </c>
      <c r="D51" s="121"/>
      <c r="E51" s="121"/>
      <c r="F51" s="121"/>
      <c r="G51" s="121"/>
      <c r="H51" s="121"/>
      <c r="I51" s="121"/>
      <c r="J51" s="121"/>
      <c r="K51" s="122"/>
      <c r="M51" s="75" t="s">
        <v>45</v>
      </c>
      <c r="N51" s="39"/>
      <c r="O51" s="39"/>
      <c r="P51" s="39"/>
    </row>
    <row r="52" spans="2:16" ht="30" customHeight="1">
      <c r="B52" s="58"/>
      <c r="C52" s="120"/>
      <c r="D52" s="121"/>
      <c r="E52" s="121"/>
      <c r="F52" s="121"/>
      <c r="G52" s="121"/>
      <c r="H52" s="121"/>
      <c r="I52" s="121"/>
      <c r="J52" s="121"/>
      <c r="K52" s="122"/>
      <c r="M52" s="39"/>
      <c r="N52" s="39"/>
      <c r="O52" s="39"/>
      <c r="P52" s="39"/>
    </row>
    <row r="53" spans="2:16" ht="30" customHeight="1">
      <c r="B53" s="58"/>
      <c r="C53" s="120"/>
      <c r="D53" s="121"/>
      <c r="E53" s="121"/>
      <c r="F53" s="121"/>
      <c r="G53" s="121"/>
      <c r="H53" s="121"/>
      <c r="I53" s="121"/>
      <c r="J53" s="121"/>
      <c r="K53" s="122"/>
      <c r="M53" s="39"/>
      <c r="N53" s="39"/>
      <c r="O53" s="39"/>
      <c r="P53" s="39"/>
    </row>
    <row r="54" spans="2:16" ht="14.25" customHeight="1">
      <c r="F54" s="191"/>
    </row>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50">
    <mergeCell ref="C29:K29"/>
    <mergeCell ref="C30:K30"/>
    <mergeCell ref="C31:K31"/>
    <mergeCell ref="C32:K32"/>
    <mergeCell ref="C24:K24"/>
    <mergeCell ref="C25:K25"/>
    <mergeCell ref="C26:K26"/>
    <mergeCell ref="C27:K27"/>
    <mergeCell ref="C28:K28"/>
    <mergeCell ref="C2:G2"/>
    <mergeCell ref="C3:G3"/>
    <mergeCell ref="C4:G4"/>
    <mergeCell ref="B5:C5"/>
    <mergeCell ref="M8:O8"/>
    <mergeCell ref="P8:P9"/>
    <mergeCell ref="D9:I9"/>
    <mergeCell ref="C11:E11"/>
    <mergeCell ref="C12:K12"/>
    <mergeCell ref="C33:K33"/>
    <mergeCell ref="C13:K13"/>
    <mergeCell ref="C14:K14"/>
    <mergeCell ref="C15:K15"/>
    <mergeCell ref="C16:K16"/>
    <mergeCell ref="C17:K17"/>
    <mergeCell ref="C18:K18"/>
    <mergeCell ref="C19:K19"/>
    <mergeCell ref="C20:K20"/>
    <mergeCell ref="C21:K21"/>
    <mergeCell ref="C22:K22"/>
    <mergeCell ref="C23:K23"/>
    <mergeCell ref="C34:K34"/>
    <mergeCell ref="C35:K35"/>
    <mergeCell ref="C36:K36"/>
    <mergeCell ref="C37:K37"/>
    <mergeCell ref="C38:K38"/>
    <mergeCell ref="C39:K39"/>
    <mergeCell ref="C40:K40"/>
    <mergeCell ref="C41:K41"/>
    <mergeCell ref="C42:K42"/>
    <mergeCell ref="C43:K43"/>
    <mergeCell ref="C44:K44"/>
    <mergeCell ref="C45:K45"/>
    <mergeCell ref="C46:K46"/>
    <mergeCell ref="C47:K47"/>
    <mergeCell ref="C48:K48"/>
    <mergeCell ref="C49:K49"/>
    <mergeCell ref="C50:K50"/>
    <mergeCell ref="C51:K51"/>
    <mergeCell ref="C52:K52"/>
    <mergeCell ref="C53:K53"/>
  </mergeCells>
  <hyperlinks>
    <hyperlink ref="V2" location="'REQ. NO FUN. GEN'!A1" display="Volver" xr:uid="{00000000-0004-0000-0900-000000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987"/>
  <sheetViews>
    <sheetView topLeftCell="A30" workbookViewId="0">
      <selection activeCell="M47" sqref="M47"/>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32"/>
      <c r="D9" s="129" t="s">
        <v>991</v>
      </c>
      <c r="E9" s="130"/>
      <c r="F9" s="130"/>
      <c r="G9" s="130"/>
      <c r="H9" s="130"/>
      <c r="I9" s="131"/>
      <c r="J9" s="32"/>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t="s">
        <v>182</v>
      </c>
      <c r="D12" s="121"/>
      <c r="E12" s="121"/>
      <c r="F12" s="121"/>
      <c r="G12" s="121"/>
      <c r="H12" s="121"/>
      <c r="I12" s="121"/>
      <c r="J12" s="121"/>
      <c r="K12" s="122"/>
      <c r="L12" s="38"/>
      <c r="M12" s="39" t="s">
        <v>45</v>
      </c>
      <c r="N12" s="39"/>
      <c r="O12" s="39"/>
      <c r="P12" s="39"/>
      <c r="R12" s="49"/>
    </row>
    <row r="13" spans="2:22" ht="30" customHeight="1">
      <c r="B13" s="37">
        <v>2</v>
      </c>
      <c r="C13" s="120" t="s">
        <v>183</v>
      </c>
      <c r="D13" s="121"/>
      <c r="E13" s="121"/>
      <c r="F13" s="121"/>
      <c r="G13" s="121"/>
      <c r="H13" s="121"/>
      <c r="I13" s="121"/>
      <c r="J13" s="121"/>
      <c r="K13" s="122"/>
      <c r="M13" s="39" t="s">
        <v>45</v>
      </c>
      <c r="N13" s="39"/>
      <c r="O13" s="39"/>
      <c r="P13" s="39"/>
      <c r="R13" s="49"/>
    </row>
    <row r="14" spans="2:22" ht="30" customHeight="1">
      <c r="B14" s="37">
        <v>3</v>
      </c>
      <c r="C14" s="120" t="s">
        <v>184</v>
      </c>
      <c r="D14" s="121"/>
      <c r="E14" s="121"/>
      <c r="F14" s="121"/>
      <c r="G14" s="121"/>
      <c r="H14" s="121"/>
      <c r="I14" s="121"/>
      <c r="J14" s="121"/>
      <c r="K14" s="122"/>
      <c r="M14" s="39" t="s">
        <v>45</v>
      </c>
      <c r="N14" s="39"/>
      <c r="O14" s="39"/>
      <c r="P14" s="39"/>
    </row>
    <row r="15" spans="2:22" ht="30" customHeight="1">
      <c r="B15" s="37">
        <v>4</v>
      </c>
      <c r="C15" s="120" t="s">
        <v>185</v>
      </c>
      <c r="D15" s="121"/>
      <c r="E15" s="121"/>
      <c r="F15" s="121"/>
      <c r="G15" s="121"/>
      <c r="H15" s="121"/>
      <c r="I15" s="121"/>
      <c r="J15" s="121"/>
      <c r="K15" s="122"/>
      <c r="L15" s="38"/>
      <c r="M15" s="39" t="s">
        <v>45</v>
      </c>
      <c r="N15" s="39"/>
      <c r="O15" s="39"/>
      <c r="P15" s="39"/>
    </row>
    <row r="16" spans="2:22" ht="30" customHeight="1">
      <c r="B16" s="37">
        <v>5</v>
      </c>
      <c r="C16" s="120" t="s">
        <v>186</v>
      </c>
      <c r="D16" s="121"/>
      <c r="E16" s="121"/>
      <c r="F16" s="121"/>
      <c r="G16" s="121"/>
      <c r="H16" s="121"/>
      <c r="I16" s="121"/>
      <c r="J16" s="121"/>
      <c r="K16" s="122"/>
      <c r="L16" s="40"/>
      <c r="M16" s="39" t="s">
        <v>45</v>
      </c>
      <c r="N16" s="39"/>
      <c r="O16" s="39"/>
      <c r="P16" s="39"/>
    </row>
    <row r="17" spans="2:18" ht="30" customHeight="1">
      <c r="B17" s="37">
        <v>6</v>
      </c>
      <c r="C17" s="120" t="s">
        <v>578</v>
      </c>
      <c r="D17" s="121"/>
      <c r="E17" s="121"/>
      <c r="F17" s="121"/>
      <c r="G17" s="121"/>
      <c r="H17" s="121"/>
      <c r="I17" s="121"/>
      <c r="J17" s="121"/>
      <c r="K17" s="122"/>
      <c r="M17" s="39" t="s">
        <v>45</v>
      </c>
      <c r="N17" s="39"/>
      <c r="O17" s="39"/>
      <c r="P17" s="39"/>
    </row>
    <row r="18" spans="2:18" ht="30" customHeight="1">
      <c r="B18" s="37">
        <v>7</v>
      </c>
      <c r="C18" s="120" t="s">
        <v>187</v>
      </c>
      <c r="D18" s="121"/>
      <c r="E18" s="121"/>
      <c r="F18" s="121"/>
      <c r="G18" s="121"/>
      <c r="H18" s="121"/>
      <c r="I18" s="121"/>
      <c r="J18" s="121"/>
      <c r="K18" s="122"/>
      <c r="M18" s="39" t="s">
        <v>45</v>
      </c>
      <c r="N18" s="39"/>
      <c r="O18" s="39"/>
      <c r="P18" s="39"/>
    </row>
    <row r="19" spans="2:18" ht="30" customHeight="1">
      <c r="B19" s="37">
        <v>8</v>
      </c>
      <c r="C19" s="120" t="s">
        <v>188</v>
      </c>
      <c r="D19" s="121"/>
      <c r="E19" s="121"/>
      <c r="F19" s="121"/>
      <c r="G19" s="121"/>
      <c r="H19" s="121"/>
      <c r="I19" s="121"/>
      <c r="J19" s="121"/>
      <c r="K19" s="122"/>
      <c r="L19" s="38"/>
      <c r="M19" s="39" t="s">
        <v>45</v>
      </c>
      <c r="N19" s="39"/>
      <c r="O19" s="39"/>
      <c r="P19" s="39"/>
    </row>
    <row r="20" spans="2:18" ht="30" customHeight="1">
      <c r="B20" s="37">
        <v>9</v>
      </c>
      <c r="C20" s="120" t="s">
        <v>189</v>
      </c>
      <c r="D20" s="121"/>
      <c r="E20" s="121"/>
      <c r="F20" s="121"/>
      <c r="G20" s="121"/>
      <c r="H20" s="121"/>
      <c r="I20" s="121"/>
      <c r="J20" s="121"/>
      <c r="K20" s="122"/>
      <c r="L20" s="42"/>
      <c r="M20" s="39" t="s">
        <v>45</v>
      </c>
      <c r="N20" s="39"/>
      <c r="O20" s="39"/>
      <c r="P20" s="39"/>
    </row>
    <row r="21" spans="2:18" ht="30" customHeight="1">
      <c r="B21" s="37">
        <v>10</v>
      </c>
      <c r="C21" s="120" t="s">
        <v>190</v>
      </c>
      <c r="D21" s="121"/>
      <c r="E21" s="121"/>
      <c r="F21" s="121"/>
      <c r="G21" s="121"/>
      <c r="H21" s="121"/>
      <c r="I21" s="121"/>
      <c r="J21" s="121"/>
      <c r="K21" s="122"/>
      <c r="L21" s="42"/>
      <c r="M21" s="39" t="s">
        <v>45</v>
      </c>
      <c r="N21" s="39"/>
      <c r="O21" s="39"/>
      <c r="P21" s="39"/>
    </row>
    <row r="22" spans="2:18" ht="30" customHeight="1">
      <c r="B22" s="37">
        <v>11</v>
      </c>
      <c r="C22" s="120" t="s">
        <v>191</v>
      </c>
      <c r="D22" s="121"/>
      <c r="E22" s="121"/>
      <c r="F22" s="121"/>
      <c r="G22" s="121"/>
      <c r="H22" s="121"/>
      <c r="I22" s="121"/>
      <c r="J22" s="121"/>
      <c r="K22" s="122"/>
      <c r="L22" s="42"/>
      <c r="M22" s="39" t="s">
        <v>45</v>
      </c>
      <c r="N22" s="39"/>
      <c r="O22" s="39"/>
      <c r="P22" s="39"/>
    </row>
    <row r="23" spans="2:18" ht="30" customHeight="1">
      <c r="B23" s="37">
        <v>12</v>
      </c>
      <c r="C23" s="120" t="s">
        <v>192</v>
      </c>
      <c r="D23" s="121"/>
      <c r="E23" s="121"/>
      <c r="F23" s="121"/>
      <c r="G23" s="121"/>
      <c r="H23" s="121"/>
      <c r="I23" s="121"/>
      <c r="J23" s="121"/>
      <c r="K23" s="122"/>
      <c r="L23" s="42"/>
      <c r="M23" s="39"/>
      <c r="N23" s="39" t="s">
        <v>45</v>
      </c>
      <c r="O23" s="39"/>
      <c r="P23" s="39"/>
    </row>
    <row r="24" spans="2:18" ht="30" customHeight="1">
      <c r="B24" s="37">
        <v>14</v>
      </c>
      <c r="C24" s="120" t="s">
        <v>193</v>
      </c>
      <c r="D24" s="121"/>
      <c r="E24" s="121"/>
      <c r="F24" s="121"/>
      <c r="G24" s="121"/>
      <c r="H24" s="121"/>
      <c r="I24" s="121"/>
      <c r="J24" s="121"/>
      <c r="K24" s="122"/>
      <c r="L24" s="42"/>
      <c r="M24" s="39" t="s">
        <v>45</v>
      </c>
      <c r="N24" s="39"/>
      <c r="O24" s="39"/>
      <c r="P24" s="39"/>
    </row>
    <row r="25" spans="2:18" ht="30" customHeight="1">
      <c r="B25" s="37">
        <v>15</v>
      </c>
      <c r="C25" s="120" t="s">
        <v>194</v>
      </c>
      <c r="D25" s="121"/>
      <c r="E25" s="121"/>
      <c r="F25" s="121"/>
      <c r="G25" s="121"/>
      <c r="H25" s="121"/>
      <c r="I25" s="121"/>
      <c r="J25" s="121"/>
      <c r="K25" s="122"/>
      <c r="L25" s="42"/>
      <c r="M25" s="39" t="s">
        <v>45</v>
      </c>
      <c r="N25" s="39"/>
      <c r="O25" s="39"/>
      <c r="P25" s="39"/>
    </row>
    <row r="26" spans="2:18" ht="30" customHeight="1">
      <c r="B26" s="37">
        <v>16</v>
      </c>
      <c r="C26" s="120" t="s">
        <v>195</v>
      </c>
      <c r="D26" s="121"/>
      <c r="E26" s="121"/>
      <c r="F26" s="121"/>
      <c r="G26" s="121"/>
      <c r="H26" s="121"/>
      <c r="I26" s="121"/>
      <c r="J26" s="121"/>
      <c r="K26" s="122"/>
      <c r="L26" s="42"/>
      <c r="M26" s="39"/>
      <c r="N26" s="39" t="s">
        <v>45</v>
      </c>
      <c r="O26" s="39"/>
      <c r="P26" s="39"/>
    </row>
    <row r="27" spans="2:18" ht="30" customHeight="1">
      <c r="B27" s="37">
        <v>17</v>
      </c>
      <c r="C27" s="120" t="s">
        <v>196</v>
      </c>
      <c r="D27" s="121"/>
      <c r="E27" s="121"/>
      <c r="F27" s="121"/>
      <c r="G27" s="121"/>
      <c r="H27" s="121"/>
      <c r="I27" s="121"/>
      <c r="J27" s="121"/>
      <c r="K27" s="122"/>
      <c r="L27" s="42"/>
      <c r="M27" s="39" t="s">
        <v>45</v>
      </c>
      <c r="N27" s="39"/>
      <c r="O27" s="39"/>
      <c r="P27" s="39"/>
    </row>
    <row r="28" spans="2:18" ht="30" customHeight="1">
      <c r="B28" s="37">
        <v>18</v>
      </c>
      <c r="C28" s="120" t="s">
        <v>197</v>
      </c>
      <c r="D28" s="121"/>
      <c r="E28" s="121"/>
      <c r="F28" s="121"/>
      <c r="G28" s="121"/>
      <c r="H28" s="121"/>
      <c r="I28" s="121"/>
      <c r="J28" s="121"/>
      <c r="K28" s="122"/>
      <c r="L28" s="42"/>
      <c r="M28" s="39" t="s">
        <v>45</v>
      </c>
      <c r="N28" s="39"/>
      <c r="O28" s="39"/>
      <c r="P28" s="39"/>
    </row>
    <row r="29" spans="2:18" ht="30" customHeight="1">
      <c r="B29" s="37">
        <v>19</v>
      </c>
      <c r="C29" s="120" t="s">
        <v>198</v>
      </c>
      <c r="D29" s="121"/>
      <c r="E29" s="121"/>
      <c r="F29" s="121"/>
      <c r="G29" s="121"/>
      <c r="H29" s="121"/>
      <c r="I29" s="121"/>
      <c r="J29" s="121"/>
      <c r="K29" s="122"/>
      <c r="L29" s="42"/>
      <c r="M29" s="39" t="s">
        <v>45</v>
      </c>
      <c r="N29" s="39"/>
      <c r="O29" s="39"/>
      <c r="P29" s="39"/>
    </row>
    <row r="30" spans="2:18" ht="30" customHeight="1">
      <c r="B30" s="37">
        <v>20</v>
      </c>
      <c r="C30" s="120" t="s">
        <v>666</v>
      </c>
      <c r="D30" s="121"/>
      <c r="E30" s="121"/>
      <c r="F30" s="121"/>
      <c r="G30" s="121"/>
      <c r="H30" s="121"/>
      <c r="I30" s="121"/>
      <c r="J30" s="121"/>
      <c r="K30" s="122"/>
      <c r="L30" s="42"/>
      <c r="M30" s="39" t="s">
        <v>45</v>
      </c>
      <c r="N30" s="39"/>
      <c r="O30" s="39"/>
      <c r="P30" s="39"/>
      <c r="R30" s="43"/>
    </row>
    <row r="31" spans="2:18" ht="30" customHeight="1">
      <c r="B31" s="37">
        <v>21</v>
      </c>
      <c r="C31" s="120" t="s">
        <v>199</v>
      </c>
      <c r="D31" s="121"/>
      <c r="E31" s="121"/>
      <c r="F31" s="121"/>
      <c r="G31" s="121"/>
      <c r="H31" s="121"/>
      <c r="I31" s="121"/>
      <c r="J31" s="121"/>
      <c r="K31" s="122"/>
      <c r="L31" s="42"/>
      <c r="M31" s="39" t="s">
        <v>45</v>
      </c>
      <c r="N31" s="39"/>
      <c r="O31" s="39"/>
      <c r="P31" s="39"/>
    </row>
    <row r="32" spans="2:18" ht="30" customHeight="1">
      <c r="B32" s="37">
        <v>22</v>
      </c>
      <c r="C32" s="120" t="s">
        <v>200</v>
      </c>
      <c r="D32" s="121"/>
      <c r="E32" s="121"/>
      <c r="F32" s="121"/>
      <c r="G32" s="121"/>
      <c r="H32" s="121"/>
      <c r="I32" s="121"/>
      <c r="J32" s="121"/>
      <c r="K32" s="122"/>
      <c r="L32" s="42"/>
      <c r="M32" s="39" t="s">
        <v>45</v>
      </c>
      <c r="N32" s="39"/>
      <c r="O32" s="39"/>
      <c r="P32" s="39"/>
    </row>
    <row r="33" spans="2:18" ht="30" customHeight="1">
      <c r="B33" s="37">
        <v>23</v>
      </c>
      <c r="C33" s="120" t="s">
        <v>667</v>
      </c>
      <c r="D33" s="121"/>
      <c r="E33" s="121"/>
      <c r="F33" s="121"/>
      <c r="G33" s="121"/>
      <c r="H33" s="121"/>
      <c r="I33" s="121"/>
      <c r="J33" s="121"/>
      <c r="K33" s="122"/>
      <c r="L33" s="42"/>
      <c r="M33" s="39" t="s">
        <v>45</v>
      </c>
      <c r="N33" s="39"/>
      <c r="O33" s="39"/>
      <c r="P33" s="39"/>
    </row>
    <row r="34" spans="2:18" ht="30" customHeight="1">
      <c r="B34" s="37">
        <v>25</v>
      </c>
      <c r="C34" s="182" t="s">
        <v>201</v>
      </c>
      <c r="D34" s="121"/>
      <c r="E34" s="121"/>
      <c r="F34" s="121"/>
      <c r="G34" s="121"/>
      <c r="H34" s="121"/>
      <c r="I34" s="121"/>
      <c r="J34" s="121"/>
      <c r="K34" s="122"/>
      <c r="L34" s="42"/>
      <c r="M34" s="39" t="s">
        <v>45</v>
      </c>
      <c r="N34" s="39"/>
      <c r="O34" s="39"/>
      <c r="P34" s="39"/>
    </row>
    <row r="35" spans="2:18" ht="30" customHeight="1">
      <c r="B35" s="37">
        <v>26</v>
      </c>
      <c r="C35" s="120" t="s">
        <v>202</v>
      </c>
      <c r="D35" s="121"/>
      <c r="E35" s="121"/>
      <c r="F35" s="121"/>
      <c r="G35" s="121"/>
      <c r="H35" s="121"/>
      <c r="I35" s="121"/>
      <c r="J35" s="121"/>
      <c r="K35" s="122"/>
      <c r="L35" s="42"/>
      <c r="M35" s="39" t="s">
        <v>45</v>
      </c>
      <c r="N35" s="39"/>
      <c r="O35" s="39"/>
      <c r="P35" s="39"/>
    </row>
    <row r="36" spans="2:18" ht="30" customHeight="1">
      <c r="B36" s="37">
        <v>27</v>
      </c>
      <c r="C36" s="120" t="s">
        <v>203</v>
      </c>
      <c r="D36" s="121"/>
      <c r="E36" s="121"/>
      <c r="F36" s="121"/>
      <c r="G36" s="121"/>
      <c r="H36" s="121"/>
      <c r="I36" s="121"/>
      <c r="J36" s="121"/>
      <c r="K36" s="122"/>
      <c r="L36" s="42"/>
      <c r="M36" s="39" t="s">
        <v>45</v>
      </c>
      <c r="N36" s="39"/>
      <c r="O36" s="39"/>
      <c r="P36" s="39"/>
    </row>
    <row r="37" spans="2:18" ht="30" customHeight="1">
      <c r="B37" s="37">
        <v>28</v>
      </c>
      <c r="C37" s="120" t="s">
        <v>204</v>
      </c>
      <c r="D37" s="121"/>
      <c r="E37" s="121"/>
      <c r="F37" s="121"/>
      <c r="G37" s="121"/>
      <c r="H37" s="121"/>
      <c r="I37" s="121"/>
      <c r="J37" s="121"/>
      <c r="K37" s="122"/>
      <c r="L37" s="40"/>
      <c r="M37" s="39" t="s">
        <v>45</v>
      </c>
      <c r="N37" s="39"/>
      <c r="O37" s="39"/>
      <c r="P37" s="39"/>
    </row>
    <row r="38" spans="2:18" ht="30" customHeight="1">
      <c r="B38" s="37">
        <v>29</v>
      </c>
      <c r="C38" s="120" t="s">
        <v>205</v>
      </c>
      <c r="D38" s="121"/>
      <c r="E38" s="121"/>
      <c r="F38" s="121"/>
      <c r="G38" s="121"/>
      <c r="H38" s="121"/>
      <c r="I38" s="121"/>
      <c r="J38" s="121"/>
      <c r="K38" s="122"/>
      <c r="M38" s="39" t="s">
        <v>45</v>
      </c>
      <c r="N38" s="39"/>
      <c r="O38" s="39"/>
      <c r="P38" s="39"/>
      <c r="R38" s="43"/>
    </row>
    <row r="39" spans="2:18" ht="30" customHeight="1">
      <c r="B39" s="37">
        <v>30</v>
      </c>
      <c r="C39" s="120" t="s">
        <v>206</v>
      </c>
      <c r="D39" s="121"/>
      <c r="E39" s="121"/>
      <c r="F39" s="121"/>
      <c r="G39" s="121"/>
      <c r="H39" s="121"/>
      <c r="I39" s="121"/>
      <c r="J39" s="121"/>
      <c r="K39" s="122"/>
      <c r="M39" s="39" t="s">
        <v>45</v>
      </c>
      <c r="N39" s="39"/>
      <c r="O39" s="39"/>
      <c r="P39" s="39"/>
    </row>
    <row r="40" spans="2:18" ht="30" customHeight="1">
      <c r="B40" s="37">
        <v>31</v>
      </c>
      <c r="C40" s="120" t="s">
        <v>207</v>
      </c>
      <c r="D40" s="121"/>
      <c r="E40" s="121"/>
      <c r="F40" s="121"/>
      <c r="G40" s="121"/>
      <c r="H40" s="121"/>
      <c r="I40" s="121"/>
      <c r="J40" s="121"/>
      <c r="K40" s="122"/>
      <c r="L40" s="38"/>
      <c r="M40" s="39" t="s">
        <v>45</v>
      </c>
      <c r="N40" s="39"/>
      <c r="O40" s="39"/>
      <c r="P40" s="39"/>
    </row>
    <row r="41" spans="2:18" ht="30" customHeight="1">
      <c r="B41" s="37">
        <v>32</v>
      </c>
      <c r="C41" s="120" t="s">
        <v>208</v>
      </c>
      <c r="D41" s="121"/>
      <c r="E41" s="121"/>
      <c r="F41" s="121"/>
      <c r="G41" s="121"/>
      <c r="H41" s="121"/>
      <c r="I41" s="121"/>
      <c r="J41" s="121"/>
      <c r="K41" s="122"/>
      <c r="L41" s="40"/>
      <c r="M41" s="39" t="s">
        <v>45</v>
      </c>
      <c r="N41" s="39"/>
      <c r="O41" s="39"/>
      <c r="P41" s="39"/>
    </row>
    <row r="42" spans="2:18" ht="30" customHeight="1">
      <c r="B42" s="37"/>
      <c r="C42" s="120"/>
      <c r="D42" s="121"/>
      <c r="E42" s="121"/>
      <c r="F42" s="121"/>
      <c r="G42" s="121"/>
      <c r="H42" s="121"/>
      <c r="I42" s="121"/>
      <c r="J42" s="121"/>
      <c r="K42" s="122"/>
      <c r="M42" s="39"/>
      <c r="N42" s="39"/>
      <c r="O42" s="39"/>
      <c r="P42" s="39"/>
    </row>
    <row r="43" spans="2:18" ht="30" customHeight="1">
      <c r="B43" s="31"/>
      <c r="C43" s="120"/>
      <c r="D43" s="121"/>
      <c r="E43" s="121"/>
      <c r="F43" s="121"/>
      <c r="G43" s="121"/>
      <c r="H43" s="121"/>
      <c r="I43" s="121"/>
      <c r="J43" s="121"/>
      <c r="K43" s="122"/>
      <c r="M43" s="39"/>
      <c r="N43" s="39"/>
      <c r="O43" s="39"/>
      <c r="P43" s="39"/>
    </row>
    <row r="44" spans="2:18" ht="30" customHeight="1">
      <c r="B44" s="37"/>
      <c r="C44" s="120"/>
      <c r="D44" s="121"/>
      <c r="E44" s="121"/>
      <c r="F44" s="121"/>
      <c r="G44" s="121"/>
      <c r="H44" s="121"/>
      <c r="I44" s="121"/>
      <c r="J44" s="121"/>
      <c r="K44" s="122"/>
      <c r="L44" s="38"/>
      <c r="M44" s="39"/>
      <c r="N44" s="39"/>
      <c r="O44" s="39"/>
      <c r="P44" s="39"/>
    </row>
    <row r="45" spans="2:18" ht="14.25" customHeight="1"/>
    <row r="46" spans="2:18" ht="14.25" customHeight="1"/>
    <row r="47" spans="2:18" ht="14.25" customHeight="1"/>
    <row r="48" spans="2:18" ht="14.25" customHeight="1"/>
    <row r="49" spans="3:11" ht="14.25" customHeight="1"/>
    <row r="50" spans="3:11" ht="14.25" customHeight="1"/>
    <row r="51" spans="3:11" ht="14.25" customHeight="1"/>
    <row r="52" spans="3:11" ht="14.25" customHeight="1">
      <c r="C52" s="42"/>
      <c r="D52" s="42"/>
      <c r="E52" s="42"/>
      <c r="F52" s="42"/>
      <c r="G52" s="42"/>
      <c r="H52" s="42"/>
      <c r="I52" s="42"/>
      <c r="J52" s="42"/>
      <c r="K52" s="42"/>
    </row>
    <row r="53" spans="3:11" ht="14.25" customHeight="1">
      <c r="C53" s="42"/>
      <c r="D53" s="42"/>
      <c r="E53" s="42"/>
      <c r="F53" s="42"/>
      <c r="G53" s="42"/>
      <c r="H53" s="42"/>
      <c r="I53" s="42"/>
      <c r="J53" s="42"/>
      <c r="K53" s="42"/>
    </row>
    <row r="54" spans="3:11" ht="14.25" customHeight="1">
      <c r="C54" s="42"/>
      <c r="D54" s="42"/>
      <c r="E54" s="42"/>
      <c r="F54" s="42"/>
      <c r="G54" s="42"/>
      <c r="H54" s="42"/>
      <c r="I54" s="42"/>
      <c r="J54" s="42"/>
      <c r="K54" s="42"/>
    </row>
    <row r="55" spans="3:11" ht="14.25" customHeight="1"/>
    <row r="56" spans="3:11" ht="14.25" customHeight="1"/>
    <row r="57" spans="3:11" ht="14.25" customHeight="1"/>
    <row r="58" spans="3:11" ht="14.25" customHeight="1"/>
    <row r="59" spans="3:11" ht="14.25" customHeight="1"/>
    <row r="60" spans="3:11" ht="14.25" customHeight="1"/>
    <row r="61" spans="3:11" ht="14.25" customHeight="1"/>
    <row r="62" spans="3:11" ht="14.25" customHeight="1"/>
    <row r="63" spans="3:11" ht="14.25" customHeight="1"/>
    <row r="64" spans="3:11"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sheetData>
  <mergeCells count="41">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35:K35"/>
    <mergeCell ref="C36:K36"/>
    <mergeCell ref="C37:K37"/>
    <mergeCell ref="C38:K38"/>
    <mergeCell ref="C44:K44"/>
    <mergeCell ref="C39:K39"/>
    <mergeCell ref="C40:K40"/>
    <mergeCell ref="C41:K41"/>
    <mergeCell ref="C42:K42"/>
    <mergeCell ref="C43:K43"/>
  </mergeCells>
  <hyperlinks>
    <hyperlink ref="V2" location="'REQ. FUN. GEN'!A1" display="Volver" xr:uid="{00000000-0004-0000-0A00-000000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V988"/>
  <sheetViews>
    <sheetView topLeftCell="A14" workbookViewId="0">
      <selection activeCell="O20" sqref="O20"/>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c r="S8" s="49"/>
    </row>
    <row r="9" spans="2:22" ht="14.25" customHeight="1">
      <c r="B9" s="31"/>
      <c r="C9" s="32"/>
      <c r="D9" s="129" t="s">
        <v>992</v>
      </c>
      <c r="E9" s="130"/>
      <c r="F9" s="130"/>
      <c r="G9" s="130"/>
      <c r="H9" s="130"/>
      <c r="I9" s="131"/>
      <c r="J9" s="32"/>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t="s">
        <v>209</v>
      </c>
      <c r="D12" s="121"/>
      <c r="E12" s="121"/>
      <c r="F12" s="121"/>
      <c r="G12" s="121"/>
      <c r="H12" s="121"/>
      <c r="I12" s="121"/>
      <c r="J12" s="121"/>
      <c r="K12" s="122"/>
      <c r="L12" s="38"/>
      <c r="M12" s="39" t="s">
        <v>45</v>
      </c>
      <c r="N12" s="39"/>
      <c r="O12" s="39"/>
      <c r="P12" s="39"/>
    </row>
    <row r="13" spans="2:22" ht="30" customHeight="1">
      <c r="B13" s="31">
        <v>2</v>
      </c>
      <c r="C13" s="120" t="s">
        <v>210</v>
      </c>
      <c r="D13" s="121"/>
      <c r="E13" s="121"/>
      <c r="F13" s="121"/>
      <c r="G13" s="121"/>
      <c r="H13" s="121"/>
      <c r="I13" s="121"/>
      <c r="J13" s="121"/>
      <c r="K13" s="122"/>
      <c r="L13" s="40"/>
      <c r="M13" s="39" t="s">
        <v>45</v>
      </c>
      <c r="N13" s="39"/>
      <c r="O13" s="39"/>
      <c r="P13" s="39"/>
    </row>
    <row r="14" spans="2:22" ht="30" customHeight="1">
      <c r="B14" s="37">
        <v>3</v>
      </c>
      <c r="C14" s="120" t="s">
        <v>211</v>
      </c>
      <c r="D14" s="121"/>
      <c r="E14" s="121"/>
      <c r="F14" s="121"/>
      <c r="G14" s="121"/>
      <c r="H14" s="121"/>
      <c r="I14" s="121"/>
      <c r="J14" s="121"/>
      <c r="K14" s="122"/>
      <c r="M14" s="39" t="s">
        <v>45</v>
      </c>
      <c r="N14" s="39"/>
      <c r="O14" s="39"/>
      <c r="P14" s="39"/>
      <c r="R14" s="43" t="s">
        <v>212</v>
      </c>
    </row>
    <row r="15" spans="2:22" ht="30" customHeight="1">
      <c r="B15" s="37">
        <v>4</v>
      </c>
      <c r="C15" s="120" t="s">
        <v>213</v>
      </c>
      <c r="D15" s="121"/>
      <c r="E15" s="121"/>
      <c r="F15" s="121"/>
      <c r="G15" s="121"/>
      <c r="H15" s="121"/>
      <c r="I15" s="121"/>
      <c r="J15" s="121"/>
      <c r="K15" s="122"/>
      <c r="M15" s="39" t="s">
        <v>45</v>
      </c>
      <c r="N15" s="39"/>
      <c r="O15" s="39"/>
      <c r="P15" s="39"/>
    </row>
    <row r="16" spans="2:22" ht="30" customHeight="1">
      <c r="B16" s="31">
        <v>5</v>
      </c>
      <c r="C16" s="120" t="s">
        <v>179</v>
      </c>
      <c r="D16" s="121"/>
      <c r="E16" s="121"/>
      <c r="F16" s="121"/>
      <c r="G16" s="121"/>
      <c r="H16" s="121"/>
      <c r="I16" s="121"/>
      <c r="J16" s="121"/>
      <c r="K16" s="122"/>
      <c r="L16" s="38"/>
      <c r="M16" s="39" t="s">
        <v>45</v>
      </c>
      <c r="N16" s="39"/>
      <c r="O16" s="39"/>
      <c r="P16" s="39"/>
    </row>
    <row r="17" spans="2:18" ht="30" customHeight="1">
      <c r="B17" s="37">
        <v>6</v>
      </c>
      <c r="C17" s="120" t="s">
        <v>214</v>
      </c>
      <c r="D17" s="121"/>
      <c r="E17" s="121"/>
      <c r="F17" s="121"/>
      <c r="G17" s="121"/>
      <c r="H17" s="121"/>
      <c r="I17" s="121"/>
      <c r="J17" s="121"/>
      <c r="K17" s="122"/>
      <c r="L17" s="40"/>
      <c r="M17" s="39" t="s">
        <v>45</v>
      </c>
      <c r="N17" s="39"/>
      <c r="O17" s="39"/>
      <c r="P17" s="39"/>
    </row>
    <row r="18" spans="2:18" ht="30" customHeight="1">
      <c r="B18" s="37">
        <v>7</v>
      </c>
      <c r="C18" s="120" t="s">
        <v>215</v>
      </c>
      <c r="D18" s="121"/>
      <c r="E18" s="121"/>
      <c r="F18" s="121"/>
      <c r="G18" s="121"/>
      <c r="H18" s="121"/>
      <c r="I18" s="121"/>
      <c r="J18" s="121"/>
      <c r="K18" s="122"/>
      <c r="M18" s="39"/>
      <c r="N18" s="39" t="s">
        <v>45</v>
      </c>
      <c r="O18" s="39"/>
      <c r="P18" s="39"/>
    </row>
    <row r="19" spans="2:18" ht="30" customHeight="1">
      <c r="B19" s="31">
        <v>8</v>
      </c>
      <c r="C19" s="120" t="s">
        <v>216</v>
      </c>
      <c r="D19" s="121"/>
      <c r="E19" s="121"/>
      <c r="F19" s="121"/>
      <c r="G19" s="121"/>
      <c r="H19" s="121"/>
      <c r="I19" s="121"/>
      <c r="J19" s="121"/>
      <c r="K19" s="122"/>
      <c r="M19" s="39" t="s">
        <v>45</v>
      </c>
      <c r="N19" s="39"/>
      <c r="O19" s="39"/>
      <c r="P19" s="39"/>
    </row>
    <row r="20" spans="2:18" ht="30" customHeight="1">
      <c r="B20" s="37">
        <v>9</v>
      </c>
      <c r="C20" s="120" t="s">
        <v>217</v>
      </c>
      <c r="D20" s="121"/>
      <c r="E20" s="121"/>
      <c r="F20" s="121"/>
      <c r="G20" s="121"/>
      <c r="H20" s="121"/>
      <c r="I20" s="121"/>
      <c r="J20" s="121"/>
      <c r="K20" s="122"/>
      <c r="L20" s="38"/>
      <c r="M20" s="39" t="s">
        <v>45</v>
      </c>
      <c r="N20" s="39"/>
      <c r="O20" s="39"/>
      <c r="P20" s="39"/>
      <c r="R20" s="43"/>
    </row>
    <row r="21" spans="2:18" ht="30" customHeight="1">
      <c r="B21" s="37">
        <v>10</v>
      </c>
      <c r="C21" s="120" t="s">
        <v>218</v>
      </c>
      <c r="D21" s="121"/>
      <c r="E21" s="121"/>
      <c r="F21" s="121"/>
      <c r="G21" s="121"/>
      <c r="H21" s="121"/>
      <c r="I21" s="121"/>
      <c r="J21" s="121"/>
      <c r="K21" s="122"/>
      <c r="L21" s="42"/>
      <c r="M21" s="39" t="s">
        <v>45</v>
      </c>
      <c r="N21" s="39"/>
      <c r="O21" s="39"/>
      <c r="P21" s="39"/>
    </row>
    <row r="22" spans="2:18" ht="30" customHeight="1">
      <c r="B22" s="31">
        <v>11</v>
      </c>
      <c r="C22" s="120" t="s">
        <v>219</v>
      </c>
      <c r="D22" s="121"/>
      <c r="E22" s="121"/>
      <c r="F22" s="121"/>
      <c r="G22" s="121"/>
      <c r="H22" s="121"/>
      <c r="I22" s="121"/>
      <c r="J22" s="121"/>
      <c r="K22" s="122"/>
      <c r="L22" s="42"/>
      <c r="M22" s="39" t="s">
        <v>45</v>
      </c>
      <c r="N22" s="39"/>
      <c r="O22" s="39"/>
      <c r="P22" s="39"/>
      <c r="R22" s="49"/>
    </row>
    <row r="23" spans="2:18" ht="30" customHeight="1">
      <c r="B23" s="37">
        <v>13</v>
      </c>
      <c r="C23" s="120" t="s">
        <v>220</v>
      </c>
      <c r="D23" s="121"/>
      <c r="E23" s="121"/>
      <c r="F23" s="121"/>
      <c r="G23" s="121"/>
      <c r="H23" s="121"/>
      <c r="I23" s="121"/>
      <c r="J23" s="121"/>
      <c r="K23" s="122"/>
      <c r="L23" s="42"/>
      <c r="M23" s="39" t="s">
        <v>45</v>
      </c>
      <c r="N23" s="39"/>
      <c r="O23" s="39"/>
      <c r="P23" s="39"/>
    </row>
    <row r="24" spans="2:18" ht="30" customHeight="1">
      <c r="B24" s="31">
        <v>14</v>
      </c>
      <c r="C24" s="120" t="s">
        <v>221</v>
      </c>
      <c r="D24" s="121"/>
      <c r="E24" s="121"/>
      <c r="F24" s="121"/>
      <c r="G24" s="121"/>
      <c r="H24" s="121"/>
      <c r="I24" s="121"/>
      <c r="J24" s="121"/>
      <c r="K24" s="122"/>
      <c r="L24" s="42"/>
      <c r="M24" s="39" t="s">
        <v>45</v>
      </c>
      <c r="N24" s="39"/>
      <c r="O24" s="39"/>
      <c r="P24" s="39"/>
    </row>
    <row r="25" spans="2:18" ht="30" customHeight="1">
      <c r="B25" s="37">
        <v>15</v>
      </c>
      <c r="C25" s="120" t="s">
        <v>222</v>
      </c>
      <c r="D25" s="121"/>
      <c r="E25" s="121"/>
      <c r="F25" s="121"/>
      <c r="G25" s="121"/>
      <c r="H25" s="121"/>
      <c r="I25" s="121"/>
      <c r="J25" s="121"/>
      <c r="K25" s="122"/>
      <c r="L25" s="42"/>
      <c r="M25" s="39" t="s">
        <v>45</v>
      </c>
      <c r="N25" s="39"/>
      <c r="O25" s="39"/>
      <c r="P25" s="39"/>
    </row>
    <row r="26" spans="2:18" ht="30" customHeight="1">
      <c r="B26" s="37">
        <v>19</v>
      </c>
      <c r="C26" s="120" t="s">
        <v>223</v>
      </c>
      <c r="D26" s="121"/>
      <c r="E26" s="121"/>
      <c r="F26" s="121"/>
      <c r="G26" s="121"/>
      <c r="H26" s="121"/>
      <c r="I26" s="121"/>
      <c r="J26" s="121"/>
      <c r="K26" s="122"/>
      <c r="L26" s="42"/>
      <c r="M26" s="39"/>
      <c r="N26" s="39" t="s">
        <v>45</v>
      </c>
      <c r="O26" s="39"/>
      <c r="P26" s="39"/>
    </row>
    <row r="27" spans="2:18" ht="30" customHeight="1">
      <c r="B27" s="31">
        <v>20</v>
      </c>
      <c r="C27" s="120" t="s">
        <v>224</v>
      </c>
      <c r="D27" s="121"/>
      <c r="E27" s="121"/>
      <c r="F27" s="121"/>
      <c r="G27" s="121"/>
      <c r="H27" s="121"/>
      <c r="I27" s="121"/>
      <c r="J27" s="121"/>
      <c r="K27" s="122"/>
      <c r="L27" s="42"/>
      <c r="M27" s="39" t="s">
        <v>45</v>
      </c>
      <c r="N27" s="39"/>
      <c r="O27" s="39"/>
      <c r="P27" s="39"/>
    </row>
    <row r="28" spans="2:18" ht="30" customHeight="1">
      <c r="B28" s="37">
        <v>21</v>
      </c>
      <c r="C28" s="120" t="s">
        <v>180</v>
      </c>
      <c r="D28" s="121"/>
      <c r="E28" s="121"/>
      <c r="F28" s="121"/>
      <c r="G28" s="121"/>
      <c r="H28" s="121"/>
      <c r="I28" s="121"/>
      <c r="J28" s="121"/>
      <c r="K28" s="122"/>
      <c r="M28" s="39" t="s">
        <v>45</v>
      </c>
      <c r="N28" s="39"/>
      <c r="O28" s="39"/>
      <c r="P28" s="39"/>
    </row>
    <row r="29" spans="2:18" ht="30" customHeight="1">
      <c r="B29" s="37">
        <v>22</v>
      </c>
      <c r="C29" s="120" t="s">
        <v>181</v>
      </c>
      <c r="D29" s="121"/>
      <c r="E29" s="121"/>
      <c r="F29" s="121"/>
      <c r="G29" s="121"/>
      <c r="H29" s="121"/>
      <c r="I29" s="121"/>
      <c r="J29" s="121"/>
      <c r="K29" s="122"/>
      <c r="M29" s="39" t="s">
        <v>45</v>
      </c>
      <c r="N29" s="39"/>
      <c r="O29" s="39"/>
      <c r="P29" s="39"/>
    </row>
    <row r="30" spans="2:18" ht="30" customHeight="1">
      <c r="B30" s="31">
        <v>23</v>
      </c>
      <c r="C30" s="120" t="s">
        <v>225</v>
      </c>
      <c r="D30" s="121"/>
      <c r="E30" s="121"/>
      <c r="F30" s="121"/>
      <c r="G30" s="121"/>
      <c r="H30" s="121"/>
      <c r="I30" s="121"/>
      <c r="J30" s="121"/>
      <c r="K30" s="122"/>
      <c r="L30" s="42"/>
      <c r="M30" s="39" t="s">
        <v>45</v>
      </c>
      <c r="N30" s="39"/>
      <c r="O30" s="39"/>
      <c r="P30" s="39"/>
      <c r="R30" s="43" t="s">
        <v>226</v>
      </c>
    </row>
    <row r="31" spans="2:18" ht="30" customHeight="1">
      <c r="B31" s="37">
        <v>24</v>
      </c>
      <c r="C31" s="120" t="s">
        <v>227</v>
      </c>
      <c r="D31" s="121"/>
      <c r="E31" s="121"/>
      <c r="F31" s="121"/>
      <c r="G31" s="121"/>
      <c r="H31" s="121"/>
      <c r="I31" s="121"/>
      <c r="J31" s="121"/>
      <c r="K31" s="122"/>
      <c r="L31" s="42"/>
      <c r="M31" s="39" t="s">
        <v>45</v>
      </c>
      <c r="N31" s="39"/>
      <c r="O31" s="39"/>
      <c r="P31" s="39"/>
    </row>
    <row r="32" spans="2:18" ht="30" customHeight="1">
      <c r="B32" s="37">
        <v>25</v>
      </c>
      <c r="C32" s="120" t="s">
        <v>228</v>
      </c>
      <c r="D32" s="121"/>
      <c r="E32" s="121"/>
      <c r="F32" s="121"/>
      <c r="G32" s="121"/>
      <c r="H32" s="121"/>
      <c r="I32" s="121"/>
      <c r="J32" s="121"/>
      <c r="K32" s="122"/>
      <c r="L32" s="42"/>
      <c r="M32" s="39" t="s">
        <v>45</v>
      </c>
      <c r="N32" s="39"/>
      <c r="O32" s="39"/>
      <c r="P32" s="39"/>
      <c r="R32" s="43" t="s">
        <v>229</v>
      </c>
    </row>
    <row r="33" spans="2:16" ht="30" customHeight="1">
      <c r="B33" s="31">
        <v>26</v>
      </c>
      <c r="C33" s="120" t="s">
        <v>230</v>
      </c>
      <c r="D33" s="121"/>
      <c r="E33" s="121"/>
      <c r="F33" s="121"/>
      <c r="G33" s="121"/>
      <c r="H33" s="121"/>
      <c r="I33" s="121"/>
      <c r="J33" s="121"/>
      <c r="K33" s="122"/>
      <c r="L33" s="42"/>
      <c r="M33" s="39" t="s">
        <v>45</v>
      </c>
      <c r="N33" s="39"/>
      <c r="O33" s="39"/>
      <c r="P33" s="39"/>
    </row>
    <row r="34" spans="2:16" ht="30" customHeight="1">
      <c r="B34" s="37">
        <v>27</v>
      </c>
      <c r="C34" s="120" t="s">
        <v>231</v>
      </c>
      <c r="D34" s="121"/>
      <c r="E34" s="121"/>
      <c r="F34" s="121"/>
      <c r="G34" s="121"/>
      <c r="H34" s="121"/>
      <c r="I34" s="121"/>
      <c r="J34" s="121"/>
      <c r="K34" s="122"/>
      <c r="L34" s="40"/>
      <c r="M34" s="39" t="s">
        <v>45</v>
      </c>
      <c r="N34" s="39"/>
      <c r="O34" s="39"/>
      <c r="P34" s="39"/>
    </row>
    <row r="35" spans="2:16" ht="30" customHeight="1">
      <c r="B35" s="37"/>
      <c r="C35" s="120"/>
      <c r="D35" s="121"/>
      <c r="E35" s="121"/>
      <c r="F35" s="121"/>
      <c r="G35" s="121"/>
      <c r="H35" s="121"/>
      <c r="I35" s="121"/>
      <c r="J35" s="121"/>
      <c r="K35" s="122"/>
      <c r="M35" s="39"/>
      <c r="N35" s="39"/>
      <c r="O35" s="39"/>
      <c r="P35" s="39"/>
    </row>
    <row r="36" spans="2:16" ht="30" customHeight="1">
      <c r="B36" s="31"/>
      <c r="C36" s="120"/>
      <c r="D36" s="121"/>
      <c r="E36" s="121"/>
      <c r="F36" s="121"/>
      <c r="G36" s="121"/>
      <c r="H36" s="121"/>
      <c r="I36" s="121"/>
      <c r="J36" s="121"/>
      <c r="K36" s="122"/>
      <c r="M36" s="39"/>
      <c r="N36" s="39"/>
      <c r="O36" s="39"/>
      <c r="P36" s="39"/>
    </row>
    <row r="37" spans="2:16" ht="30" customHeight="1">
      <c r="B37" s="37"/>
      <c r="C37" s="120"/>
      <c r="D37" s="121"/>
      <c r="E37" s="121"/>
      <c r="F37" s="121"/>
      <c r="G37" s="121"/>
      <c r="H37" s="121"/>
      <c r="I37" s="121"/>
      <c r="J37" s="121"/>
      <c r="K37" s="122"/>
      <c r="L37" s="38"/>
      <c r="M37" s="39"/>
      <c r="N37" s="39"/>
      <c r="O37" s="39"/>
      <c r="P37" s="39"/>
    </row>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sheetData>
  <mergeCells count="34">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34:K34"/>
    <mergeCell ref="C35:K35"/>
    <mergeCell ref="C36:K36"/>
    <mergeCell ref="C37:K37"/>
    <mergeCell ref="C29:K29"/>
    <mergeCell ref="C30:K30"/>
    <mergeCell ref="C31:K31"/>
    <mergeCell ref="C32:K32"/>
    <mergeCell ref="C33:K33"/>
  </mergeCells>
  <hyperlinks>
    <hyperlink ref="V2" location="'REQ. NO FUN. GEN'!A1" display="Volver" xr:uid="{00000000-0004-0000-0B00-000000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V1023"/>
  <sheetViews>
    <sheetView zoomScaleNormal="100" workbookViewId="0">
      <selection activeCell="G48" sqref="G48"/>
    </sheetView>
  </sheetViews>
  <sheetFormatPr baseColWidth="10" defaultColWidth="12.5703125" defaultRowHeight="15" customHeight="1"/>
  <cols>
    <col min="1" max="1" width="10.5703125" customWidth="1"/>
    <col min="2" max="2" width="4.285156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52"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row>
    <row r="8" spans="2:22" ht="14.25" customHeight="1">
      <c r="B8" s="25"/>
      <c r="M8" s="123" t="s">
        <v>40</v>
      </c>
      <c r="N8" s="124"/>
      <c r="O8" s="125"/>
      <c r="P8" s="127" t="s">
        <v>41</v>
      </c>
    </row>
    <row r="9" spans="2:22" ht="14.25" customHeight="1">
      <c r="B9" s="31"/>
      <c r="C9" s="32"/>
      <c r="D9" s="183" t="s">
        <v>868</v>
      </c>
      <c r="E9" s="130"/>
      <c r="F9" s="130"/>
      <c r="G9" s="130"/>
      <c r="H9" s="130"/>
      <c r="I9" s="131"/>
      <c r="J9" s="32"/>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t="s">
        <v>533</v>
      </c>
      <c r="D12" s="121"/>
      <c r="E12" s="121"/>
      <c r="F12" s="121"/>
      <c r="G12" s="121"/>
      <c r="H12" s="121"/>
      <c r="I12" s="121"/>
      <c r="J12" s="121"/>
      <c r="K12" s="122"/>
      <c r="L12" s="38"/>
      <c r="M12" s="53" t="s">
        <v>45</v>
      </c>
      <c r="N12" s="54"/>
      <c r="O12" s="54"/>
      <c r="P12" s="55"/>
    </row>
    <row r="13" spans="2:22" ht="30" customHeight="1">
      <c r="B13" s="58">
        <v>2</v>
      </c>
      <c r="C13" s="120" t="s">
        <v>535</v>
      </c>
      <c r="D13" s="121"/>
      <c r="E13" s="121"/>
      <c r="F13" s="121"/>
      <c r="G13" s="121"/>
      <c r="H13" s="121"/>
      <c r="I13" s="121"/>
      <c r="J13" s="121"/>
      <c r="K13" s="122"/>
      <c r="L13" s="59"/>
      <c r="M13" s="53" t="s">
        <v>45</v>
      </c>
      <c r="N13" s="54"/>
      <c r="O13" s="54"/>
      <c r="P13" s="57"/>
    </row>
    <row r="14" spans="2:22" ht="30" customHeight="1">
      <c r="B14" s="31">
        <v>3</v>
      </c>
      <c r="C14" s="120" t="s">
        <v>534</v>
      </c>
      <c r="D14" s="121"/>
      <c r="E14" s="121"/>
      <c r="F14" s="121"/>
      <c r="G14" s="121"/>
      <c r="H14" s="121"/>
      <c r="I14" s="121"/>
      <c r="J14" s="121"/>
      <c r="K14" s="122"/>
      <c r="L14" s="40"/>
      <c r="M14" s="53" t="s">
        <v>45</v>
      </c>
      <c r="N14" s="54"/>
      <c r="O14" s="54"/>
      <c r="P14" s="55"/>
    </row>
    <row r="15" spans="2:22" ht="30" customHeight="1">
      <c r="B15" s="37">
        <v>4</v>
      </c>
      <c r="C15" s="120" t="s">
        <v>536</v>
      </c>
      <c r="D15" s="121"/>
      <c r="E15" s="121"/>
      <c r="F15" s="121"/>
      <c r="G15" s="121"/>
      <c r="H15" s="121"/>
      <c r="I15" s="121"/>
      <c r="J15" s="121"/>
      <c r="K15" s="122"/>
      <c r="L15" s="40"/>
      <c r="M15" s="53" t="s">
        <v>45</v>
      </c>
      <c r="N15" s="54"/>
      <c r="O15" s="54"/>
      <c r="P15" s="57"/>
    </row>
    <row r="16" spans="2:22" ht="30" customHeight="1">
      <c r="B16" s="58">
        <v>5</v>
      </c>
      <c r="C16" s="120" t="s">
        <v>537</v>
      </c>
      <c r="D16" s="121"/>
      <c r="E16" s="121"/>
      <c r="F16" s="121"/>
      <c r="G16" s="121"/>
      <c r="H16" s="121"/>
      <c r="I16" s="121"/>
      <c r="J16" s="121"/>
      <c r="K16" s="122"/>
      <c r="L16" s="40"/>
      <c r="M16" s="53" t="s">
        <v>45</v>
      </c>
      <c r="N16" s="54"/>
      <c r="O16" s="54"/>
      <c r="P16" s="57"/>
    </row>
    <row r="17" spans="2:16" ht="30" customHeight="1">
      <c r="B17" s="31">
        <v>6</v>
      </c>
      <c r="C17" s="120" t="s">
        <v>538</v>
      </c>
      <c r="D17" s="121"/>
      <c r="E17" s="121"/>
      <c r="F17" s="121"/>
      <c r="G17" s="121"/>
      <c r="H17" s="121"/>
      <c r="I17" s="121"/>
      <c r="J17" s="121"/>
      <c r="K17" s="122"/>
      <c r="L17" s="40"/>
      <c r="M17" s="53" t="s">
        <v>45</v>
      </c>
      <c r="N17" s="54"/>
      <c r="O17" s="54"/>
      <c r="P17" s="57"/>
    </row>
    <row r="18" spans="2:16" ht="30" customHeight="1">
      <c r="B18" s="37">
        <v>7</v>
      </c>
      <c r="C18" s="120" t="s">
        <v>540</v>
      </c>
      <c r="D18" s="121"/>
      <c r="E18" s="121"/>
      <c r="F18" s="121"/>
      <c r="G18" s="121"/>
      <c r="H18" s="121"/>
      <c r="I18" s="121"/>
      <c r="J18" s="121"/>
      <c r="K18" s="122"/>
      <c r="L18" s="40"/>
      <c r="M18" s="53" t="s">
        <v>45</v>
      </c>
      <c r="N18" s="54"/>
      <c r="O18" s="54"/>
      <c r="P18" s="57"/>
    </row>
    <row r="19" spans="2:16" ht="30" customHeight="1">
      <c r="B19" s="58">
        <v>8</v>
      </c>
      <c r="C19" s="120" t="s">
        <v>539</v>
      </c>
      <c r="D19" s="121"/>
      <c r="E19" s="121"/>
      <c r="F19" s="121"/>
      <c r="G19" s="121"/>
      <c r="H19" s="121"/>
      <c r="I19" s="121"/>
      <c r="J19" s="121"/>
      <c r="K19" s="122"/>
      <c r="L19" s="40"/>
      <c r="M19" s="53" t="s">
        <v>45</v>
      </c>
      <c r="N19" s="54"/>
      <c r="O19" s="54"/>
      <c r="P19" s="57"/>
    </row>
    <row r="20" spans="2:16" ht="30" customHeight="1">
      <c r="B20" s="31">
        <v>9</v>
      </c>
      <c r="C20" s="120" t="s">
        <v>541</v>
      </c>
      <c r="D20" s="121"/>
      <c r="E20" s="121"/>
      <c r="F20" s="121"/>
      <c r="G20" s="121"/>
      <c r="H20" s="121"/>
      <c r="I20" s="121"/>
      <c r="J20" s="121"/>
      <c r="K20" s="122"/>
      <c r="L20" s="40"/>
      <c r="M20" s="53" t="s">
        <v>45</v>
      </c>
      <c r="N20" s="54"/>
      <c r="O20" s="54"/>
      <c r="P20" s="57"/>
    </row>
    <row r="21" spans="2:16" ht="30" customHeight="1">
      <c r="B21" s="37">
        <v>10</v>
      </c>
      <c r="C21" s="120" t="s">
        <v>542</v>
      </c>
      <c r="D21" s="121"/>
      <c r="E21" s="121"/>
      <c r="F21" s="121"/>
      <c r="G21" s="121"/>
      <c r="H21" s="121"/>
      <c r="I21" s="121"/>
      <c r="J21" s="121"/>
      <c r="K21" s="122"/>
      <c r="L21" s="40"/>
      <c r="M21" s="53" t="s">
        <v>45</v>
      </c>
      <c r="N21" s="54"/>
      <c r="O21" s="54"/>
      <c r="P21" s="57"/>
    </row>
    <row r="22" spans="2:16" ht="30" customHeight="1">
      <c r="B22" s="58">
        <v>11</v>
      </c>
      <c r="C22" s="120" t="s">
        <v>543</v>
      </c>
      <c r="D22" s="121"/>
      <c r="E22" s="121"/>
      <c r="F22" s="121"/>
      <c r="G22" s="121"/>
      <c r="H22" s="121"/>
      <c r="I22" s="121"/>
      <c r="J22" s="121"/>
      <c r="K22" s="122"/>
      <c r="L22" s="40"/>
      <c r="M22" s="53" t="s">
        <v>45</v>
      </c>
      <c r="N22" s="54"/>
      <c r="O22" s="54"/>
      <c r="P22" s="57"/>
    </row>
    <row r="23" spans="2:16" ht="30" customHeight="1">
      <c r="B23" s="31">
        <v>12</v>
      </c>
      <c r="C23" s="120" t="s">
        <v>544</v>
      </c>
      <c r="D23" s="121"/>
      <c r="E23" s="121"/>
      <c r="F23" s="121"/>
      <c r="G23" s="121"/>
      <c r="H23" s="121"/>
      <c r="I23" s="121"/>
      <c r="J23" s="121"/>
      <c r="K23" s="122"/>
      <c r="L23" s="40"/>
      <c r="M23" s="53" t="s">
        <v>45</v>
      </c>
      <c r="N23" s="54"/>
      <c r="O23" s="54"/>
      <c r="P23" s="57"/>
    </row>
    <row r="24" spans="2:16" ht="30" customHeight="1">
      <c r="B24" s="37">
        <v>13</v>
      </c>
      <c r="C24" s="120" t="s">
        <v>553</v>
      </c>
      <c r="D24" s="121"/>
      <c r="E24" s="121"/>
      <c r="F24" s="121"/>
      <c r="G24" s="121"/>
      <c r="H24" s="121"/>
      <c r="I24" s="121"/>
      <c r="J24" s="121"/>
      <c r="K24" s="122"/>
      <c r="L24" s="40"/>
      <c r="M24" s="53" t="s">
        <v>45</v>
      </c>
      <c r="N24" s="54"/>
      <c r="O24" s="54"/>
      <c r="P24" s="57"/>
    </row>
    <row r="25" spans="2:16" ht="30" customHeight="1">
      <c r="B25" s="58">
        <v>14</v>
      </c>
      <c r="C25" s="120" t="s">
        <v>558</v>
      </c>
      <c r="D25" s="121"/>
      <c r="E25" s="121"/>
      <c r="F25" s="121"/>
      <c r="G25" s="121"/>
      <c r="H25" s="121"/>
      <c r="I25" s="121"/>
      <c r="J25" s="121"/>
      <c r="K25" s="122"/>
      <c r="L25" s="40"/>
      <c r="M25" s="53" t="s">
        <v>45</v>
      </c>
      <c r="N25" s="54"/>
      <c r="O25" s="54"/>
      <c r="P25" s="57"/>
    </row>
    <row r="26" spans="2:16" ht="30" customHeight="1">
      <c r="B26" s="31">
        <v>15</v>
      </c>
      <c r="C26" s="120" t="s">
        <v>556</v>
      </c>
      <c r="D26" s="121"/>
      <c r="E26" s="121"/>
      <c r="F26" s="121"/>
      <c r="G26" s="121"/>
      <c r="H26" s="121"/>
      <c r="I26" s="121"/>
      <c r="J26" s="121"/>
      <c r="K26" s="122"/>
      <c r="L26" s="40"/>
      <c r="M26" s="53" t="s">
        <v>45</v>
      </c>
      <c r="N26" s="54"/>
      <c r="O26" s="54"/>
      <c r="P26" s="57"/>
    </row>
    <row r="27" spans="2:16" ht="30" customHeight="1">
      <c r="B27" s="37">
        <v>16</v>
      </c>
      <c r="C27" s="120" t="s">
        <v>557</v>
      </c>
      <c r="D27" s="121"/>
      <c r="E27" s="121"/>
      <c r="F27" s="121"/>
      <c r="G27" s="121"/>
      <c r="H27" s="121"/>
      <c r="I27" s="121"/>
      <c r="J27" s="121"/>
      <c r="K27" s="122"/>
      <c r="L27" s="40"/>
      <c r="M27" s="53" t="s">
        <v>45</v>
      </c>
      <c r="N27" s="54"/>
      <c r="O27" s="54"/>
      <c r="P27" s="57"/>
    </row>
    <row r="28" spans="2:16" ht="30" customHeight="1">
      <c r="B28" s="58">
        <v>17</v>
      </c>
      <c r="C28" s="120" t="s">
        <v>554</v>
      </c>
      <c r="D28" s="121"/>
      <c r="E28" s="121"/>
      <c r="F28" s="121"/>
      <c r="G28" s="121"/>
      <c r="H28" s="121"/>
      <c r="I28" s="121"/>
      <c r="J28" s="121"/>
      <c r="K28" s="122"/>
      <c r="L28" s="40"/>
      <c r="M28" s="53" t="s">
        <v>45</v>
      </c>
      <c r="N28" s="54"/>
      <c r="O28" s="54"/>
      <c r="P28" s="57"/>
    </row>
    <row r="29" spans="2:16" ht="30" customHeight="1">
      <c r="B29" s="31">
        <v>18</v>
      </c>
      <c r="C29" s="120" t="s">
        <v>555</v>
      </c>
      <c r="D29" s="121"/>
      <c r="E29" s="121"/>
      <c r="F29" s="121"/>
      <c r="G29" s="121"/>
      <c r="H29" s="121"/>
      <c r="I29" s="121"/>
      <c r="J29" s="121"/>
      <c r="K29" s="122"/>
      <c r="L29" s="40"/>
      <c r="M29" s="53" t="s">
        <v>45</v>
      </c>
      <c r="N29" s="54"/>
      <c r="O29" s="54"/>
      <c r="P29" s="57"/>
    </row>
    <row r="30" spans="2:16" ht="30" customHeight="1">
      <c r="B30" s="37">
        <v>19</v>
      </c>
      <c r="C30" s="120" t="s">
        <v>559</v>
      </c>
      <c r="D30" s="121"/>
      <c r="E30" s="121"/>
      <c r="F30" s="121"/>
      <c r="G30" s="121"/>
      <c r="H30" s="121"/>
      <c r="I30" s="121"/>
      <c r="J30" s="121"/>
      <c r="K30" s="122"/>
      <c r="L30" s="40"/>
      <c r="M30" s="53" t="s">
        <v>45</v>
      </c>
      <c r="N30" s="54"/>
      <c r="O30" s="54"/>
      <c r="P30" s="57"/>
    </row>
    <row r="31" spans="2:16" ht="30" customHeight="1">
      <c r="B31" s="58">
        <v>20</v>
      </c>
      <c r="C31" s="120" t="s">
        <v>560</v>
      </c>
      <c r="D31" s="121"/>
      <c r="E31" s="121"/>
      <c r="F31" s="121"/>
      <c r="G31" s="121"/>
      <c r="H31" s="121"/>
      <c r="I31" s="121"/>
      <c r="J31" s="121"/>
      <c r="K31" s="122"/>
      <c r="L31" s="40"/>
      <c r="M31" s="53" t="s">
        <v>45</v>
      </c>
      <c r="N31" s="54"/>
      <c r="O31" s="54"/>
      <c r="P31" s="57"/>
    </row>
    <row r="32" spans="2:16" ht="30" customHeight="1">
      <c r="B32" s="31">
        <v>21</v>
      </c>
      <c r="C32" s="120" t="s">
        <v>561</v>
      </c>
      <c r="D32" s="121"/>
      <c r="E32" s="121"/>
      <c r="F32" s="121"/>
      <c r="G32" s="121"/>
      <c r="H32" s="121"/>
      <c r="I32" s="121"/>
      <c r="J32" s="121"/>
      <c r="K32" s="122"/>
      <c r="L32" s="40"/>
      <c r="M32" s="53" t="s">
        <v>45</v>
      </c>
      <c r="N32" s="54"/>
      <c r="O32" s="54"/>
      <c r="P32" s="57"/>
    </row>
    <row r="33" spans="2:18" ht="30" customHeight="1">
      <c r="B33" s="37">
        <v>22</v>
      </c>
      <c r="C33" s="120" t="s">
        <v>545</v>
      </c>
      <c r="D33" s="121"/>
      <c r="E33" s="121"/>
      <c r="F33" s="121"/>
      <c r="G33" s="121"/>
      <c r="H33" s="121"/>
      <c r="I33" s="121"/>
      <c r="J33" s="121"/>
      <c r="K33" s="122"/>
      <c r="L33" s="40"/>
      <c r="M33" s="53" t="s">
        <v>45</v>
      </c>
      <c r="N33" s="54"/>
      <c r="O33" s="54"/>
      <c r="P33" s="57"/>
    </row>
    <row r="34" spans="2:18" ht="30" customHeight="1">
      <c r="B34" s="58">
        <v>23</v>
      </c>
      <c r="C34" s="120" t="s">
        <v>546</v>
      </c>
      <c r="D34" s="121"/>
      <c r="E34" s="121"/>
      <c r="F34" s="121"/>
      <c r="G34" s="121"/>
      <c r="H34" s="121"/>
      <c r="I34" s="121"/>
      <c r="J34" s="121"/>
      <c r="K34" s="122"/>
      <c r="L34" s="40"/>
      <c r="M34" s="53" t="s">
        <v>45</v>
      </c>
      <c r="N34" s="54"/>
      <c r="O34" s="54"/>
      <c r="P34" s="57"/>
    </row>
    <row r="35" spans="2:18" ht="30" customHeight="1">
      <c r="B35" s="31">
        <v>24</v>
      </c>
      <c r="C35" s="120" t="s">
        <v>547</v>
      </c>
      <c r="D35" s="121"/>
      <c r="E35" s="121"/>
      <c r="F35" s="121"/>
      <c r="G35" s="121"/>
      <c r="H35" s="121"/>
      <c r="I35" s="121"/>
      <c r="J35" s="121"/>
      <c r="K35" s="122"/>
      <c r="L35" s="40"/>
      <c r="M35" s="53"/>
      <c r="N35" s="54" t="s">
        <v>45</v>
      </c>
      <c r="O35" s="54"/>
      <c r="P35" s="57"/>
      <c r="R35" s="73" t="s">
        <v>798</v>
      </c>
    </row>
    <row r="36" spans="2:18" ht="30" customHeight="1">
      <c r="B36" s="37">
        <v>25</v>
      </c>
      <c r="C36" s="120" t="s">
        <v>548</v>
      </c>
      <c r="D36" s="121"/>
      <c r="E36" s="121"/>
      <c r="F36" s="121"/>
      <c r="G36" s="121"/>
      <c r="H36" s="121"/>
      <c r="I36" s="121"/>
      <c r="J36" s="121"/>
      <c r="K36" s="122"/>
      <c r="L36" s="40"/>
      <c r="M36" s="53" t="s">
        <v>45</v>
      </c>
      <c r="N36" s="54"/>
      <c r="O36" s="54"/>
      <c r="P36" s="57"/>
    </row>
    <row r="37" spans="2:18" ht="30" customHeight="1">
      <c r="B37" s="58">
        <v>26</v>
      </c>
      <c r="C37" s="120" t="s">
        <v>549</v>
      </c>
      <c r="D37" s="121"/>
      <c r="E37" s="121"/>
      <c r="F37" s="121"/>
      <c r="G37" s="121"/>
      <c r="H37" s="121"/>
      <c r="I37" s="121"/>
      <c r="J37" s="121"/>
      <c r="K37" s="122"/>
      <c r="L37" s="40"/>
      <c r="M37" s="53" t="s">
        <v>45</v>
      </c>
      <c r="N37" s="54"/>
      <c r="O37" s="54"/>
      <c r="P37" s="57"/>
    </row>
    <row r="38" spans="2:18" ht="30" customHeight="1">
      <c r="B38" s="31">
        <v>27</v>
      </c>
      <c r="C38" s="120" t="s">
        <v>550</v>
      </c>
      <c r="D38" s="121"/>
      <c r="E38" s="121"/>
      <c r="F38" s="121"/>
      <c r="G38" s="121"/>
      <c r="H38" s="121"/>
      <c r="I38" s="121"/>
      <c r="J38" s="121"/>
      <c r="K38" s="122"/>
      <c r="L38" s="40"/>
      <c r="M38" s="53" t="s">
        <v>45</v>
      </c>
      <c r="N38" s="54"/>
      <c r="O38" s="54"/>
      <c r="P38" s="57"/>
    </row>
    <row r="39" spans="2:18" ht="30" customHeight="1">
      <c r="B39" s="37">
        <v>28</v>
      </c>
      <c r="C39" s="120" t="s">
        <v>551</v>
      </c>
      <c r="D39" s="121"/>
      <c r="E39" s="121"/>
      <c r="F39" s="121"/>
      <c r="G39" s="121"/>
      <c r="H39" s="121"/>
      <c r="I39" s="121"/>
      <c r="J39" s="121"/>
      <c r="K39" s="122"/>
      <c r="L39" s="40"/>
      <c r="M39" s="53" t="s">
        <v>45</v>
      </c>
      <c r="N39" s="54"/>
      <c r="O39" s="54"/>
      <c r="P39" s="57"/>
    </row>
    <row r="40" spans="2:18" ht="30" customHeight="1">
      <c r="B40" s="58">
        <v>29</v>
      </c>
      <c r="C40" s="120" t="s">
        <v>552</v>
      </c>
      <c r="D40" s="121"/>
      <c r="E40" s="121"/>
      <c r="F40" s="121"/>
      <c r="G40" s="121"/>
      <c r="H40" s="121"/>
      <c r="I40" s="121"/>
      <c r="J40" s="121"/>
      <c r="K40" s="122"/>
      <c r="L40" s="40"/>
      <c r="M40" s="53" t="s">
        <v>45</v>
      </c>
      <c r="N40" s="54"/>
      <c r="O40" s="54"/>
      <c r="P40" s="57"/>
    </row>
    <row r="41" spans="2:18" ht="30" customHeight="1">
      <c r="B41" s="58">
        <v>30</v>
      </c>
      <c r="C41" s="120" t="s">
        <v>562</v>
      </c>
      <c r="D41" s="121"/>
      <c r="E41" s="121"/>
      <c r="F41" s="121"/>
      <c r="G41" s="121"/>
      <c r="H41" s="121"/>
      <c r="I41" s="121"/>
      <c r="J41" s="121"/>
      <c r="K41" s="122"/>
      <c r="L41" s="40"/>
      <c r="M41" s="53" t="s">
        <v>45</v>
      </c>
      <c r="N41" s="54"/>
      <c r="O41" s="54"/>
      <c r="P41" s="57"/>
    </row>
    <row r="42" spans="2:18" ht="30" customHeight="1">
      <c r="B42" s="58">
        <v>31</v>
      </c>
      <c r="C42" s="120" t="s">
        <v>567</v>
      </c>
      <c r="D42" s="121"/>
      <c r="E42" s="121"/>
      <c r="F42" s="121"/>
      <c r="G42" s="121"/>
      <c r="H42" s="121"/>
      <c r="I42" s="121"/>
      <c r="J42" s="121"/>
      <c r="K42" s="122"/>
      <c r="L42" s="40"/>
      <c r="M42" s="53" t="s">
        <v>45</v>
      </c>
      <c r="N42" s="54"/>
      <c r="O42" s="54"/>
      <c r="P42" s="57"/>
    </row>
    <row r="43" spans="2:18" ht="30" customHeight="1">
      <c r="B43" s="31">
        <v>32</v>
      </c>
      <c r="C43" s="120" t="s">
        <v>232</v>
      </c>
      <c r="D43" s="121"/>
      <c r="E43" s="121"/>
      <c r="F43" s="121"/>
      <c r="G43" s="121"/>
      <c r="H43" s="121"/>
      <c r="I43" s="121"/>
      <c r="J43" s="121"/>
      <c r="K43" s="122"/>
      <c r="L43" s="40"/>
      <c r="M43" s="53" t="s">
        <v>45</v>
      </c>
      <c r="N43" s="54"/>
      <c r="O43" s="54"/>
      <c r="P43" s="57"/>
    </row>
    <row r="44" spans="2:18" ht="14.25" customHeight="1"/>
    <row r="45" spans="2:18" ht="14.25" customHeight="1">
      <c r="C45" s="43"/>
    </row>
    <row r="46" spans="2:18" ht="14.25" customHeight="1"/>
    <row r="47" spans="2:18" ht="14.25" customHeight="1"/>
    <row r="48" spans="2:18" ht="14.25" customHeight="1"/>
    <row r="49" ht="35.25" customHeight="1"/>
    <row r="50" ht="31.5" customHeight="1"/>
    <row r="51" ht="27.75" customHeight="1"/>
    <row r="52" ht="27.75" customHeight="1"/>
    <row r="53" ht="31.5" customHeight="1"/>
    <row r="54" ht="27"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sheetData>
  <mergeCells count="40">
    <mergeCell ref="C43:K43"/>
    <mergeCell ref="C18:K18"/>
    <mergeCell ref="C19:K19"/>
    <mergeCell ref="C20:K20"/>
    <mergeCell ref="C21:K21"/>
    <mergeCell ref="C22:K22"/>
    <mergeCell ref="C24:K24"/>
    <mergeCell ref="C31:K31"/>
    <mergeCell ref="C32:K32"/>
    <mergeCell ref="C33:K33"/>
    <mergeCell ref="C34:K34"/>
    <mergeCell ref="C35:K35"/>
    <mergeCell ref="C36:K36"/>
    <mergeCell ref="C42:K42"/>
    <mergeCell ref="C41:K41"/>
    <mergeCell ref="C40:K40"/>
    <mergeCell ref="C2:G2"/>
    <mergeCell ref="C3:G3"/>
    <mergeCell ref="C4:G4"/>
    <mergeCell ref="B5:C5"/>
    <mergeCell ref="M8:O8"/>
    <mergeCell ref="P8:P9"/>
    <mergeCell ref="D9:I9"/>
    <mergeCell ref="C11:E11"/>
    <mergeCell ref="C12:K12"/>
    <mergeCell ref="C14:K14"/>
    <mergeCell ref="C13:K13"/>
    <mergeCell ref="C15:K15"/>
    <mergeCell ref="C16:K16"/>
    <mergeCell ref="C17:K17"/>
    <mergeCell ref="C23:K23"/>
    <mergeCell ref="C39:K39"/>
    <mergeCell ref="C25:K25"/>
    <mergeCell ref="C26:K26"/>
    <mergeCell ref="C27:K27"/>
    <mergeCell ref="C28:K28"/>
    <mergeCell ref="C29:K29"/>
    <mergeCell ref="C30:K30"/>
    <mergeCell ref="C37:K37"/>
    <mergeCell ref="C38:K38"/>
  </mergeCells>
  <hyperlinks>
    <hyperlink ref="V2" location="'REQ. FUN. GEN'!A1" display="Volver" xr:uid="{00000000-0004-0000-0C00-000000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V1077"/>
  <sheetViews>
    <sheetView topLeftCell="A44" workbookViewId="0">
      <selection activeCell="F102" sqref="F102"/>
    </sheetView>
  </sheetViews>
  <sheetFormatPr baseColWidth="10" defaultColWidth="12.5703125" defaultRowHeight="15" customHeight="1"/>
  <cols>
    <col min="1" max="1" width="10.5703125" customWidth="1"/>
    <col min="2" max="2" width="4.285156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78"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32"/>
      <c r="D9" s="183" t="s">
        <v>869</v>
      </c>
      <c r="E9" s="130"/>
      <c r="F9" s="130"/>
      <c r="G9" s="130"/>
      <c r="H9" s="130"/>
      <c r="I9" s="131"/>
      <c r="J9" s="32"/>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6" t="s">
        <v>870</v>
      </c>
      <c r="D12" s="121"/>
      <c r="E12" s="121"/>
      <c r="F12" s="121"/>
      <c r="G12" s="121"/>
      <c r="H12" s="121"/>
      <c r="I12" s="121"/>
      <c r="J12" s="121"/>
      <c r="K12" s="122"/>
      <c r="L12" s="38"/>
      <c r="M12" s="79" t="s">
        <v>45</v>
      </c>
      <c r="N12" s="79"/>
      <c r="O12" s="79"/>
      <c r="P12" s="48"/>
    </row>
    <row r="13" spans="2:22" ht="30" customHeight="1">
      <c r="B13" s="58">
        <v>2</v>
      </c>
      <c r="C13" s="126" t="s">
        <v>871</v>
      </c>
      <c r="D13" s="121"/>
      <c r="E13" s="121"/>
      <c r="F13" s="121"/>
      <c r="G13" s="121"/>
      <c r="H13" s="121"/>
      <c r="I13" s="121"/>
      <c r="J13" s="121"/>
      <c r="K13" s="122"/>
      <c r="L13" s="59"/>
      <c r="M13" s="79" t="s">
        <v>45</v>
      </c>
      <c r="N13" s="79"/>
      <c r="O13" s="79"/>
      <c r="P13" s="76"/>
    </row>
    <row r="14" spans="2:22" ht="30" customHeight="1">
      <c r="B14" s="58">
        <v>3</v>
      </c>
      <c r="C14" s="126" t="s">
        <v>872</v>
      </c>
      <c r="D14" s="121"/>
      <c r="E14" s="121"/>
      <c r="F14" s="121"/>
      <c r="G14" s="121"/>
      <c r="H14" s="121"/>
      <c r="I14" s="121"/>
      <c r="J14" s="121"/>
      <c r="K14" s="122"/>
      <c r="L14" s="59"/>
      <c r="M14" s="79" t="s">
        <v>45</v>
      </c>
      <c r="N14" s="79"/>
      <c r="O14" s="79"/>
      <c r="P14" s="76"/>
    </row>
    <row r="15" spans="2:22" ht="30" customHeight="1">
      <c r="B15" s="37">
        <v>4</v>
      </c>
      <c r="C15" s="126" t="s">
        <v>873</v>
      </c>
      <c r="D15" s="121"/>
      <c r="E15" s="121"/>
      <c r="F15" s="121"/>
      <c r="G15" s="121"/>
      <c r="H15" s="121"/>
      <c r="I15" s="121"/>
      <c r="J15" s="121"/>
      <c r="K15" s="122"/>
      <c r="L15" s="59"/>
      <c r="M15" s="79" t="s">
        <v>45</v>
      </c>
      <c r="N15" s="79"/>
      <c r="O15" s="79"/>
      <c r="P15" s="76"/>
    </row>
    <row r="16" spans="2:22" ht="30" customHeight="1">
      <c r="B16" s="58">
        <v>5</v>
      </c>
      <c r="C16" s="126" t="s">
        <v>874</v>
      </c>
      <c r="D16" s="121"/>
      <c r="E16" s="121"/>
      <c r="F16" s="121"/>
      <c r="G16" s="121"/>
      <c r="H16" s="121"/>
      <c r="I16" s="121"/>
      <c r="J16" s="121"/>
      <c r="K16" s="122"/>
      <c r="L16" s="59"/>
      <c r="M16" s="79" t="s">
        <v>45</v>
      </c>
      <c r="N16" s="79"/>
      <c r="O16" s="79"/>
      <c r="P16" s="76"/>
    </row>
    <row r="17" spans="2:16" ht="30" customHeight="1">
      <c r="B17" s="58">
        <v>6</v>
      </c>
      <c r="C17" s="126" t="s">
        <v>875</v>
      </c>
      <c r="D17" s="121"/>
      <c r="E17" s="121"/>
      <c r="F17" s="121"/>
      <c r="G17" s="121"/>
      <c r="H17" s="121"/>
      <c r="I17" s="121"/>
      <c r="J17" s="121"/>
      <c r="K17" s="122"/>
      <c r="L17" s="59"/>
      <c r="M17" s="79" t="s">
        <v>45</v>
      </c>
      <c r="N17" s="79"/>
      <c r="O17" s="79"/>
      <c r="P17" s="76"/>
    </row>
    <row r="18" spans="2:16" ht="30" customHeight="1">
      <c r="B18" s="37">
        <v>7</v>
      </c>
      <c r="C18" s="126" t="s">
        <v>876</v>
      </c>
      <c r="D18" s="121"/>
      <c r="E18" s="121"/>
      <c r="F18" s="121"/>
      <c r="G18" s="121"/>
      <c r="H18" s="121"/>
      <c r="I18" s="121"/>
      <c r="J18" s="121"/>
      <c r="K18" s="122"/>
      <c r="L18" s="59"/>
      <c r="M18" s="79" t="s">
        <v>45</v>
      </c>
      <c r="N18" s="79"/>
      <c r="O18" s="79"/>
      <c r="P18" s="76"/>
    </row>
    <row r="19" spans="2:16" ht="30" customHeight="1">
      <c r="B19" s="58">
        <v>8</v>
      </c>
      <c r="C19" s="126" t="s">
        <v>877</v>
      </c>
      <c r="D19" s="121"/>
      <c r="E19" s="121"/>
      <c r="F19" s="121"/>
      <c r="G19" s="121"/>
      <c r="H19" s="121"/>
      <c r="I19" s="121"/>
      <c r="J19" s="121"/>
      <c r="K19" s="122"/>
      <c r="L19" s="59"/>
      <c r="M19" s="79" t="s">
        <v>45</v>
      </c>
      <c r="N19" s="79"/>
      <c r="O19" s="79"/>
      <c r="P19" s="76"/>
    </row>
    <row r="20" spans="2:16" ht="30" customHeight="1">
      <c r="B20" s="58">
        <v>9</v>
      </c>
      <c r="C20" s="126" t="s">
        <v>878</v>
      </c>
      <c r="D20" s="121"/>
      <c r="E20" s="121"/>
      <c r="F20" s="121"/>
      <c r="G20" s="121"/>
      <c r="H20" s="121"/>
      <c r="I20" s="121"/>
      <c r="J20" s="121"/>
      <c r="K20" s="122"/>
      <c r="L20" s="59"/>
      <c r="M20" s="79" t="s">
        <v>45</v>
      </c>
      <c r="N20" s="79"/>
      <c r="O20" s="79"/>
      <c r="P20" s="76"/>
    </row>
    <row r="21" spans="2:16" ht="30" customHeight="1">
      <c r="B21" s="37">
        <v>10</v>
      </c>
      <c r="C21" s="126" t="s">
        <v>879</v>
      </c>
      <c r="D21" s="121"/>
      <c r="E21" s="121"/>
      <c r="F21" s="121"/>
      <c r="G21" s="121"/>
      <c r="H21" s="121"/>
      <c r="I21" s="121"/>
      <c r="J21" s="121"/>
      <c r="K21" s="122"/>
      <c r="L21" s="59"/>
      <c r="M21" s="79" t="s">
        <v>45</v>
      </c>
      <c r="N21" s="79"/>
      <c r="O21" s="79"/>
      <c r="P21" s="76"/>
    </row>
    <row r="22" spans="2:16" ht="30" customHeight="1">
      <c r="B22" s="58">
        <v>11</v>
      </c>
      <c r="C22" s="126" t="s">
        <v>880</v>
      </c>
      <c r="D22" s="121"/>
      <c r="E22" s="121"/>
      <c r="F22" s="121"/>
      <c r="G22" s="121"/>
      <c r="H22" s="121"/>
      <c r="I22" s="121"/>
      <c r="J22" s="121"/>
      <c r="K22" s="122"/>
      <c r="L22" s="59"/>
      <c r="M22" s="79" t="s">
        <v>45</v>
      </c>
      <c r="N22" s="79"/>
      <c r="O22" s="79"/>
      <c r="P22" s="76"/>
    </row>
    <row r="23" spans="2:16" ht="30" customHeight="1">
      <c r="B23" s="58">
        <v>12</v>
      </c>
      <c r="C23" s="126" t="s">
        <v>881</v>
      </c>
      <c r="D23" s="121"/>
      <c r="E23" s="121"/>
      <c r="F23" s="121"/>
      <c r="G23" s="121"/>
      <c r="H23" s="121"/>
      <c r="I23" s="121"/>
      <c r="J23" s="121"/>
      <c r="K23" s="122"/>
      <c r="L23" s="59"/>
      <c r="M23" s="79" t="s">
        <v>45</v>
      </c>
      <c r="N23" s="79"/>
      <c r="O23" s="79"/>
      <c r="P23" s="76"/>
    </row>
    <row r="24" spans="2:16" ht="30" customHeight="1">
      <c r="B24" s="37">
        <v>13</v>
      </c>
      <c r="C24" s="126" t="s">
        <v>882</v>
      </c>
      <c r="D24" s="121"/>
      <c r="E24" s="121"/>
      <c r="F24" s="121"/>
      <c r="G24" s="121"/>
      <c r="H24" s="121"/>
      <c r="I24" s="121"/>
      <c r="J24" s="121"/>
      <c r="K24" s="122"/>
      <c r="L24" s="59"/>
      <c r="M24" s="79" t="s">
        <v>45</v>
      </c>
      <c r="N24" s="79"/>
      <c r="O24" s="79"/>
      <c r="P24" s="76"/>
    </row>
    <row r="25" spans="2:16" ht="30" customHeight="1">
      <c r="B25" s="58">
        <v>14</v>
      </c>
      <c r="C25" s="126" t="s">
        <v>883</v>
      </c>
      <c r="D25" s="121"/>
      <c r="E25" s="121"/>
      <c r="F25" s="121"/>
      <c r="G25" s="121"/>
      <c r="H25" s="121"/>
      <c r="I25" s="121"/>
      <c r="J25" s="121"/>
      <c r="K25" s="122"/>
      <c r="L25" s="59"/>
      <c r="M25" s="79" t="s">
        <v>45</v>
      </c>
      <c r="N25" s="79"/>
      <c r="O25" s="79"/>
      <c r="P25" s="76"/>
    </row>
    <row r="26" spans="2:16" ht="30" customHeight="1">
      <c r="B26" s="58">
        <v>15</v>
      </c>
      <c r="C26" s="126" t="s">
        <v>884</v>
      </c>
      <c r="D26" s="121"/>
      <c r="E26" s="121"/>
      <c r="F26" s="121"/>
      <c r="G26" s="121"/>
      <c r="H26" s="121"/>
      <c r="I26" s="121"/>
      <c r="J26" s="121"/>
      <c r="K26" s="122"/>
      <c r="L26" s="59"/>
      <c r="M26" s="79" t="s">
        <v>45</v>
      </c>
      <c r="N26" s="79"/>
      <c r="O26" s="79"/>
      <c r="P26" s="76"/>
    </row>
    <row r="27" spans="2:16" ht="30" customHeight="1">
      <c r="B27" s="37">
        <v>16</v>
      </c>
      <c r="C27" s="126" t="s">
        <v>885</v>
      </c>
      <c r="D27" s="121"/>
      <c r="E27" s="121"/>
      <c r="F27" s="121"/>
      <c r="G27" s="121"/>
      <c r="H27" s="121"/>
      <c r="I27" s="121"/>
      <c r="J27" s="121"/>
      <c r="K27" s="122"/>
      <c r="L27" s="59"/>
      <c r="M27" s="79" t="s">
        <v>45</v>
      </c>
      <c r="N27" s="79"/>
      <c r="O27" s="79"/>
      <c r="P27" s="76"/>
    </row>
    <row r="28" spans="2:16" ht="30" customHeight="1">
      <c r="B28" s="58">
        <v>17</v>
      </c>
      <c r="C28" s="126" t="s">
        <v>886</v>
      </c>
      <c r="D28" s="121"/>
      <c r="E28" s="121"/>
      <c r="F28" s="121"/>
      <c r="G28" s="121"/>
      <c r="H28" s="121"/>
      <c r="I28" s="121"/>
      <c r="J28" s="121"/>
      <c r="K28" s="122"/>
      <c r="L28" s="59"/>
      <c r="M28" s="79" t="s">
        <v>45</v>
      </c>
      <c r="N28" s="79"/>
      <c r="O28" s="79"/>
      <c r="P28" s="76"/>
    </row>
    <row r="29" spans="2:16" ht="30" customHeight="1">
      <c r="B29" s="58">
        <v>18</v>
      </c>
      <c r="C29" s="126" t="s">
        <v>887</v>
      </c>
      <c r="D29" s="121"/>
      <c r="E29" s="121"/>
      <c r="F29" s="121"/>
      <c r="G29" s="121"/>
      <c r="H29" s="121"/>
      <c r="I29" s="121"/>
      <c r="J29" s="121"/>
      <c r="K29" s="122"/>
      <c r="L29" s="59"/>
      <c r="M29" s="79" t="s">
        <v>45</v>
      </c>
      <c r="N29" s="79"/>
      <c r="O29" s="79"/>
      <c r="P29" s="76"/>
    </row>
    <row r="30" spans="2:16" ht="30" customHeight="1">
      <c r="B30" s="37">
        <v>19</v>
      </c>
      <c r="C30" s="126" t="s">
        <v>888</v>
      </c>
      <c r="D30" s="121"/>
      <c r="E30" s="121"/>
      <c r="F30" s="121"/>
      <c r="G30" s="121"/>
      <c r="H30" s="121"/>
      <c r="I30" s="121"/>
      <c r="J30" s="121"/>
      <c r="K30" s="122"/>
      <c r="L30" s="59"/>
      <c r="M30" s="79" t="s">
        <v>45</v>
      </c>
      <c r="N30" s="79"/>
      <c r="O30" s="79"/>
      <c r="P30" s="76"/>
    </row>
    <row r="31" spans="2:16" ht="30" customHeight="1">
      <c r="B31" s="58">
        <v>20</v>
      </c>
      <c r="C31" s="126" t="s">
        <v>889</v>
      </c>
      <c r="D31" s="121"/>
      <c r="E31" s="121"/>
      <c r="F31" s="121"/>
      <c r="G31" s="121"/>
      <c r="H31" s="121"/>
      <c r="I31" s="121"/>
      <c r="J31" s="121"/>
      <c r="K31" s="122"/>
      <c r="L31" s="59"/>
      <c r="M31" s="79" t="s">
        <v>45</v>
      </c>
      <c r="N31" s="79"/>
      <c r="O31" s="79"/>
      <c r="P31" s="76"/>
    </row>
    <row r="32" spans="2:16" ht="30" customHeight="1">
      <c r="B32" s="58">
        <v>21</v>
      </c>
      <c r="C32" s="126" t="s">
        <v>890</v>
      </c>
      <c r="D32" s="121"/>
      <c r="E32" s="121"/>
      <c r="F32" s="121"/>
      <c r="G32" s="121"/>
      <c r="H32" s="121"/>
      <c r="I32" s="121"/>
      <c r="J32" s="121"/>
      <c r="K32" s="122"/>
      <c r="L32" s="59"/>
      <c r="M32" s="79" t="s">
        <v>45</v>
      </c>
      <c r="N32" s="79"/>
      <c r="O32" s="79"/>
      <c r="P32" s="76"/>
    </row>
    <row r="33" spans="2:16" ht="30" customHeight="1">
      <c r="B33" s="37">
        <v>22</v>
      </c>
      <c r="C33" s="126" t="s">
        <v>891</v>
      </c>
      <c r="D33" s="121"/>
      <c r="E33" s="121"/>
      <c r="F33" s="121"/>
      <c r="G33" s="121"/>
      <c r="H33" s="121"/>
      <c r="I33" s="121"/>
      <c r="J33" s="121"/>
      <c r="K33" s="122"/>
      <c r="L33" s="59"/>
      <c r="M33" s="79" t="s">
        <v>45</v>
      </c>
      <c r="N33" s="79"/>
      <c r="O33" s="79"/>
      <c r="P33" s="76"/>
    </row>
    <row r="34" spans="2:16" ht="30" customHeight="1">
      <c r="B34" s="58">
        <v>23</v>
      </c>
      <c r="C34" s="126" t="s">
        <v>892</v>
      </c>
      <c r="D34" s="121"/>
      <c r="E34" s="121"/>
      <c r="F34" s="121"/>
      <c r="G34" s="121"/>
      <c r="H34" s="121"/>
      <c r="I34" s="121"/>
      <c r="J34" s="121"/>
      <c r="K34" s="122"/>
      <c r="L34" s="59"/>
      <c r="M34" s="79" t="s">
        <v>45</v>
      </c>
      <c r="N34" s="79"/>
      <c r="O34" s="79"/>
      <c r="P34" s="76"/>
    </row>
    <row r="35" spans="2:16" ht="30" customHeight="1">
      <c r="B35" s="58">
        <v>24</v>
      </c>
      <c r="C35" s="126" t="s">
        <v>893</v>
      </c>
      <c r="D35" s="121"/>
      <c r="E35" s="121"/>
      <c r="F35" s="121"/>
      <c r="G35" s="121"/>
      <c r="H35" s="121"/>
      <c r="I35" s="121"/>
      <c r="J35" s="121"/>
      <c r="K35" s="122"/>
      <c r="L35" s="59"/>
      <c r="M35" s="79" t="s">
        <v>45</v>
      </c>
      <c r="N35" s="79"/>
      <c r="O35" s="79"/>
      <c r="P35" s="76"/>
    </row>
    <row r="36" spans="2:16" ht="30" customHeight="1">
      <c r="B36" s="37">
        <v>25</v>
      </c>
      <c r="C36" s="126" t="s">
        <v>894</v>
      </c>
      <c r="D36" s="121"/>
      <c r="E36" s="121"/>
      <c r="F36" s="121"/>
      <c r="G36" s="121"/>
      <c r="H36" s="121"/>
      <c r="I36" s="121"/>
      <c r="J36" s="121"/>
      <c r="K36" s="122"/>
      <c r="L36" s="59"/>
      <c r="M36" s="79" t="s">
        <v>45</v>
      </c>
      <c r="N36" s="79"/>
      <c r="O36" s="79"/>
      <c r="P36" s="76"/>
    </row>
    <row r="37" spans="2:16" ht="30" customHeight="1">
      <c r="B37" s="58">
        <v>26</v>
      </c>
      <c r="C37" s="126" t="s">
        <v>895</v>
      </c>
      <c r="D37" s="121"/>
      <c r="E37" s="121"/>
      <c r="F37" s="121"/>
      <c r="G37" s="121"/>
      <c r="H37" s="121"/>
      <c r="I37" s="121"/>
      <c r="J37" s="121"/>
      <c r="K37" s="122"/>
      <c r="L37" s="59"/>
      <c r="M37" s="79" t="s">
        <v>45</v>
      </c>
      <c r="N37" s="79"/>
      <c r="O37" s="79"/>
      <c r="P37" s="76"/>
    </row>
    <row r="38" spans="2:16" ht="30" customHeight="1">
      <c r="B38" s="58">
        <v>27</v>
      </c>
      <c r="C38" s="126" t="s">
        <v>896</v>
      </c>
      <c r="D38" s="121"/>
      <c r="E38" s="121"/>
      <c r="F38" s="121"/>
      <c r="G38" s="121"/>
      <c r="H38" s="121"/>
      <c r="I38" s="121"/>
      <c r="J38" s="121"/>
      <c r="K38" s="122"/>
      <c r="L38" s="59"/>
      <c r="M38" s="79" t="s">
        <v>45</v>
      </c>
      <c r="N38" s="79"/>
      <c r="O38" s="79"/>
      <c r="P38" s="76"/>
    </row>
    <row r="39" spans="2:16" ht="30" customHeight="1">
      <c r="B39" s="37">
        <v>28</v>
      </c>
      <c r="C39" s="126" t="s">
        <v>897</v>
      </c>
      <c r="D39" s="121"/>
      <c r="E39" s="121"/>
      <c r="F39" s="121"/>
      <c r="G39" s="121"/>
      <c r="H39" s="121"/>
      <c r="I39" s="121"/>
      <c r="J39" s="121"/>
      <c r="K39" s="122"/>
      <c r="L39" s="59"/>
      <c r="M39" s="79" t="s">
        <v>45</v>
      </c>
      <c r="N39" s="79"/>
      <c r="O39" s="79"/>
      <c r="P39" s="76"/>
    </row>
    <row r="40" spans="2:16" ht="30" customHeight="1">
      <c r="B40" s="58">
        <v>29</v>
      </c>
      <c r="C40" s="126" t="s">
        <v>898</v>
      </c>
      <c r="D40" s="121"/>
      <c r="E40" s="121"/>
      <c r="F40" s="121"/>
      <c r="G40" s="121"/>
      <c r="H40" s="121"/>
      <c r="I40" s="121"/>
      <c r="J40" s="121"/>
      <c r="K40" s="122"/>
      <c r="L40" s="59"/>
      <c r="M40" s="79" t="s">
        <v>45</v>
      </c>
      <c r="N40" s="79"/>
      <c r="O40" s="79"/>
      <c r="P40" s="76"/>
    </row>
    <row r="41" spans="2:16" ht="30" customHeight="1">
      <c r="B41" s="58">
        <v>30</v>
      </c>
      <c r="C41" s="126" t="s">
        <v>899</v>
      </c>
      <c r="D41" s="121"/>
      <c r="E41" s="121"/>
      <c r="F41" s="121"/>
      <c r="G41" s="121"/>
      <c r="H41" s="121"/>
      <c r="I41" s="121"/>
      <c r="J41" s="121"/>
      <c r="K41" s="122"/>
      <c r="L41" s="59"/>
      <c r="M41" s="79" t="s">
        <v>45</v>
      </c>
      <c r="N41" s="79"/>
      <c r="O41" s="79"/>
      <c r="P41" s="76"/>
    </row>
    <row r="42" spans="2:16" ht="30" customHeight="1">
      <c r="B42" s="37">
        <v>31</v>
      </c>
      <c r="C42" s="126" t="s">
        <v>900</v>
      </c>
      <c r="D42" s="121"/>
      <c r="E42" s="121"/>
      <c r="F42" s="121"/>
      <c r="G42" s="121"/>
      <c r="H42" s="121"/>
      <c r="I42" s="121"/>
      <c r="J42" s="121"/>
      <c r="K42" s="122"/>
      <c r="L42" s="59"/>
      <c r="M42" s="79" t="s">
        <v>45</v>
      </c>
      <c r="N42" s="79"/>
      <c r="O42" s="79"/>
      <c r="P42" s="76"/>
    </row>
    <row r="43" spans="2:16" ht="30" customHeight="1">
      <c r="B43" s="58">
        <v>32</v>
      </c>
      <c r="C43" s="126" t="s">
        <v>901</v>
      </c>
      <c r="D43" s="121"/>
      <c r="E43" s="121"/>
      <c r="F43" s="121"/>
      <c r="G43" s="121"/>
      <c r="H43" s="121"/>
      <c r="I43" s="121"/>
      <c r="J43" s="121"/>
      <c r="K43" s="122"/>
      <c r="L43" s="59"/>
      <c r="M43" s="79" t="s">
        <v>45</v>
      </c>
      <c r="N43" s="79"/>
      <c r="O43" s="79"/>
      <c r="P43" s="76"/>
    </row>
    <row r="44" spans="2:16" ht="30" customHeight="1">
      <c r="B44" s="58">
        <v>33</v>
      </c>
      <c r="C44" s="126" t="s">
        <v>902</v>
      </c>
      <c r="D44" s="121"/>
      <c r="E44" s="121"/>
      <c r="F44" s="121"/>
      <c r="G44" s="121"/>
      <c r="H44" s="121"/>
      <c r="I44" s="121"/>
      <c r="J44" s="121"/>
      <c r="K44" s="122"/>
      <c r="L44" s="59"/>
      <c r="M44" s="79" t="s">
        <v>45</v>
      </c>
      <c r="N44" s="79"/>
      <c r="O44" s="79"/>
      <c r="P44" s="76"/>
    </row>
    <row r="45" spans="2:16" ht="30" customHeight="1">
      <c r="B45" s="37">
        <v>34</v>
      </c>
      <c r="C45" s="126" t="s">
        <v>903</v>
      </c>
      <c r="D45" s="121"/>
      <c r="E45" s="121"/>
      <c r="F45" s="121"/>
      <c r="G45" s="121"/>
      <c r="H45" s="121"/>
      <c r="I45" s="121"/>
      <c r="J45" s="121"/>
      <c r="K45" s="122"/>
      <c r="L45" s="59"/>
      <c r="M45" s="79" t="s">
        <v>45</v>
      </c>
      <c r="N45" s="79"/>
      <c r="O45" s="79"/>
      <c r="P45" s="76"/>
    </row>
    <row r="46" spans="2:16" ht="30" customHeight="1">
      <c r="B46" s="58">
        <v>35</v>
      </c>
      <c r="C46" s="126" t="s">
        <v>904</v>
      </c>
      <c r="D46" s="121"/>
      <c r="E46" s="121"/>
      <c r="F46" s="121"/>
      <c r="G46" s="121"/>
      <c r="H46" s="121"/>
      <c r="I46" s="121"/>
      <c r="J46" s="121"/>
      <c r="K46" s="122"/>
      <c r="L46" s="59"/>
      <c r="M46" s="79" t="s">
        <v>45</v>
      </c>
      <c r="N46" s="79"/>
      <c r="O46" s="79"/>
      <c r="P46" s="76"/>
    </row>
    <row r="47" spans="2:16" ht="30" customHeight="1">
      <c r="B47" s="58">
        <v>36</v>
      </c>
      <c r="C47" s="126" t="s">
        <v>905</v>
      </c>
      <c r="D47" s="121"/>
      <c r="E47" s="121"/>
      <c r="F47" s="121"/>
      <c r="G47" s="121"/>
      <c r="H47" s="121"/>
      <c r="I47" s="121"/>
      <c r="J47" s="121"/>
      <c r="K47" s="122"/>
      <c r="L47" s="59"/>
      <c r="M47" s="79" t="s">
        <v>45</v>
      </c>
      <c r="N47" s="79"/>
      <c r="O47" s="79"/>
      <c r="P47" s="76"/>
    </row>
    <row r="48" spans="2:16" ht="30" customHeight="1">
      <c r="B48" s="37">
        <v>37</v>
      </c>
      <c r="C48" s="126" t="s">
        <v>906</v>
      </c>
      <c r="D48" s="121"/>
      <c r="E48" s="121"/>
      <c r="F48" s="121"/>
      <c r="G48" s="121"/>
      <c r="H48" s="121"/>
      <c r="I48" s="121"/>
      <c r="J48" s="121"/>
      <c r="K48" s="122"/>
      <c r="L48" s="59"/>
      <c r="M48" s="79" t="s">
        <v>45</v>
      </c>
      <c r="N48" s="79"/>
      <c r="O48" s="79"/>
      <c r="P48" s="76"/>
    </row>
    <row r="49" spans="2:16" ht="30" customHeight="1">
      <c r="B49" s="58">
        <v>38</v>
      </c>
      <c r="C49" s="126" t="s">
        <v>907</v>
      </c>
      <c r="D49" s="121"/>
      <c r="E49" s="121"/>
      <c r="F49" s="121"/>
      <c r="G49" s="121"/>
      <c r="H49" s="121"/>
      <c r="I49" s="121"/>
      <c r="J49" s="121"/>
      <c r="K49" s="122"/>
      <c r="L49" s="59"/>
      <c r="M49" s="79" t="s">
        <v>45</v>
      </c>
      <c r="N49" s="79"/>
      <c r="O49" s="79"/>
      <c r="P49" s="76"/>
    </row>
    <row r="50" spans="2:16" ht="30" customHeight="1">
      <c r="B50" s="58">
        <v>39</v>
      </c>
      <c r="C50" s="126" t="s">
        <v>908</v>
      </c>
      <c r="D50" s="121"/>
      <c r="E50" s="121"/>
      <c r="F50" s="121"/>
      <c r="G50" s="121"/>
      <c r="H50" s="121"/>
      <c r="I50" s="121"/>
      <c r="J50" s="121"/>
      <c r="K50" s="122"/>
      <c r="L50" s="59"/>
      <c r="M50" s="79" t="s">
        <v>45</v>
      </c>
      <c r="N50" s="79"/>
      <c r="O50" s="79"/>
      <c r="P50" s="76"/>
    </row>
    <row r="51" spans="2:16" ht="30" customHeight="1">
      <c r="B51" s="37">
        <v>40</v>
      </c>
      <c r="C51" s="126" t="s">
        <v>909</v>
      </c>
      <c r="D51" s="121"/>
      <c r="E51" s="121"/>
      <c r="F51" s="121"/>
      <c r="G51" s="121"/>
      <c r="H51" s="121"/>
      <c r="I51" s="121"/>
      <c r="J51" s="121"/>
      <c r="K51" s="122"/>
      <c r="L51" s="59"/>
      <c r="M51" s="79" t="s">
        <v>45</v>
      </c>
      <c r="N51" s="79"/>
      <c r="O51" s="79"/>
      <c r="P51" s="76"/>
    </row>
    <row r="52" spans="2:16" ht="30" customHeight="1">
      <c r="B52" s="58">
        <v>41</v>
      </c>
      <c r="C52" s="126" t="s">
        <v>910</v>
      </c>
      <c r="D52" s="121"/>
      <c r="E52" s="121"/>
      <c r="F52" s="121"/>
      <c r="G52" s="121"/>
      <c r="H52" s="121"/>
      <c r="I52" s="121"/>
      <c r="J52" s="121"/>
      <c r="K52" s="122"/>
      <c r="L52" s="59"/>
      <c r="M52" s="79" t="s">
        <v>45</v>
      </c>
      <c r="N52" s="79"/>
      <c r="O52" s="79"/>
      <c r="P52" s="76"/>
    </row>
    <row r="53" spans="2:16" ht="30" customHeight="1">
      <c r="B53" s="58">
        <v>42</v>
      </c>
      <c r="C53" s="126" t="s">
        <v>911</v>
      </c>
      <c r="D53" s="121"/>
      <c r="E53" s="121"/>
      <c r="F53" s="121"/>
      <c r="G53" s="121"/>
      <c r="H53" s="121"/>
      <c r="I53" s="121"/>
      <c r="J53" s="121"/>
      <c r="K53" s="122"/>
      <c r="L53" s="59"/>
      <c r="M53" s="79" t="s">
        <v>45</v>
      </c>
      <c r="N53" s="79"/>
      <c r="O53" s="79"/>
      <c r="P53" s="76"/>
    </row>
    <row r="54" spans="2:16" ht="30" customHeight="1">
      <c r="B54" s="37">
        <v>43</v>
      </c>
      <c r="C54" s="126" t="s">
        <v>912</v>
      </c>
      <c r="D54" s="121"/>
      <c r="E54" s="121"/>
      <c r="F54" s="121"/>
      <c r="G54" s="121"/>
      <c r="H54" s="121"/>
      <c r="I54" s="121"/>
      <c r="J54" s="121"/>
      <c r="K54" s="122"/>
      <c r="L54" s="59"/>
      <c r="M54" s="79" t="s">
        <v>45</v>
      </c>
      <c r="N54" s="79"/>
      <c r="O54" s="79"/>
      <c r="P54" s="76"/>
    </row>
    <row r="55" spans="2:16" ht="30" customHeight="1">
      <c r="B55" s="58">
        <v>44</v>
      </c>
      <c r="C55" s="126" t="s">
        <v>913</v>
      </c>
      <c r="D55" s="121"/>
      <c r="E55" s="121"/>
      <c r="F55" s="121"/>
      <c r="G55" s="121"/>
      <c r="H55" s="121"/>
      <c r="I55" s="121"/>
      <c r="J55" s="121"/>
      <c r="K55" s="122"/>
      <c r="L55" s="59"/>
      <c r="M55" s="79" t="s">
        <v>45</v>
      </c>
      <c r="N55" s="79"/>
      <c r="O55" s="79"/>
      <c r="P55" s="76"/>
    </row>
    <row r="56" spans="2:16" ht="30" customHeight="1">
      <c r="B56" s="58">
        <v>45</v>
      </c>
      <c r="C56" s="126" t="s">
        <v>914</v>
      </c>
      <c r="D56" s="121"/>
      <c r="E56" s="121"/>
      <c r="F56" s="121"/>
      <c r="G56" s="121"/>
      <c r="H56" s="121"/>
      <c r="I56" s="121"/>
      <c r="J56" s="121"/>
      <c r="K56" s="122"/>
      <c r="L56" s="59"/>
      <c r="M56" s="79" t="s">
        <v>45</v>
      </c>
      <c r="N56" s="79"/>
      <c r="O56" s="79"/>
      <c r="P56" s="76"/>
    </row>
    <row r="57" spans="2:16" ht="30" customHeight="1">
      <c r="B57" s="37">
        <v>46</v>
      </c>
      <c r="C57" s="126" t="s">
        <v>915</v>
      </c>
      <c r="D57" s="121"/>
      <c r="E57" s="121"/>
      <c r="F57" s="121"/>
      <c r="G57" s="121"/>
      <c r="H57" s="121"/>
      <c r="I57" s="121"/>
      <c r="J57" s="121"/>
      <c r="K57" s="122"/>
      <c r="L57" s="59"/>
      <c r="M57" s="79" t="s">
        <v>45</v>
      </c>
      <c r="N57" s="79"/>
      <c r="O57" s="79"/>
      <c r="P57" s="76"/>
    </row>
    <row r="58" spans="2:16" ht="30" customHeight="1">
      <c r="B58" s="58">
        <v>47</v>
      </c>
      <c r="C58" s="126" t="s">
        <v>916</v>
      </c>
      <c r="D58" s="121"/>
      <c r="E58" s="121"/>
      <c r="F58" s="121"/>
      <c r="G58" s="121"/>
      <c r="H58" s="121"/>
      <c r="I58" s="121"/>
      <c r="J58" s="121"/>
      <c r="K58" s="122"/>
      <c r="L58" s="59"/>
      <c r="M58" s="79" t="s">
        <v>45</v>
      </c>
      <c r="N58" s="79"/>
      <c r="O58" s="79"/>
      <c r="P58" s="76"/>
    </row>
    <row r="59" spans="2:16" ht="30" customHeight="1">
      <c r="B59" s="58">
        <v>48</v>
      </c>
      <c r="C59" s="126" t="s">
        <v>917</v>
      </c>
      <c r="D59" s="121"/>
      <c r="E59" s="121"/>
      <c r="F59" s="121"/>
      <c r="G59" s="121"/>
      <c r="H59" s="121"/>
      <c r="I59" s="121"/>
      <c r="J59" s="121"/>
      <c r="K59" s="122"/>
      <c r="L59" s="59"/>
      <c r="M59" s="79" t="s">
        <v>45</v>
      </c>
      <c r="N59" s="79"/>
      <c r="O59" s="79"/>
      <c r="P59" s="76"/>
    </row>
    <row r="60" spans="2:16" ht="30" customHeight="1">
      <c r="B60" s="37">
        <v>49</v>
      </c>
      <c r="C60" s="126" t="s">
        <v>918</v>
      </c>
      <c r="D60" s="121"/>
      <c r="E60" s="121"/>
      <c r="F60" s="121"/>
      <c r="G60" s="121"/>
      <c r="H60" s="121"/>
      <c r="I60" s="121"/>
      <c r="J60" s="121"/>
      <c r="K60" s="122"/>
      <c r="L60" s="59"/>
      <c r="M60" s="79" t="s">
        <v>45</v>
      </c>
      <c r="N60" s="79"/>
      <c r="O60" s="79"/>
      <c r="P60" s="76"/>
    </row>
    <row r="61" spans="2:16" ht="30" customHeight="1">
      <c r="B61" s="58">
        <v>50</v>
      </c>
      <c r="C61" s="126" t="s">
        <v>919</v>
      </c>
      <c r="D61" s="121"/>
      <c r="E61" s="121"/>
      <c r="F61" s="121"/>
      <c r="G61" s="121"/>
      <c r="H61" s="121"/>
      <c r="I61" s="121"/>
      <c r="J61" s="121"/>
      <c r="K61" s="122"/>
      <c r="L61" s="59"/>
      <c r="M61" s="79" t="s">
        <v>45</v>
      </c>
      <c r="N61" s="79"/>
      <c r="O61" s="79"/>
      <c r="P61" s="76"/>
    </row>
    <row r="62" spans="2:16" ht="30" customHeight="1">
      <c r="B62" s="58">
        <v>51</v>
      </c>
      <c r="C62" s="126" t="s">
        <v>920</v>
      </c>
      <c r="D62" s="121"/>
      <c r="E62" s="121"/>
      <c r="F62" s="121"/>
      <c r="G62" s="121"/>
      <c r="H62" s="121"/>
      <c r="I62" s="121"/>
      <c r="J62" s="121"/>
      <c r="K62" s="122"/>
      <c r="L62" s="59"/>
      <c r="M62" s="79" t="s">
        <v>45</v>
      </c>
      <c r="N62" s="79"/>
      <c r="O62" s="79"/>
      <c r="P62" s="76"/>
    </row>
    <row r="63" spans="2:16" ht="30" customHeight="1">
      <c r="B63" s="37">
        <v>52</v>
      </c>
      <c r="C63" s="126" t="s">
        <v>921</v>
      </c>
      <c r="D63" s="121"/>
      <c r="E63" s="121"/>
      <c r="F63" s="121"/>
      <c r="G63" s="121"/>
      <c r="H63" s="121"/>
      <c r="I63" s="121"/>
      <c r="J63" s="121"/>
      <c r="K63" s="122"/>
      <c r="L63" s="59"/>
      <c r="M63" s="79" t="s">
        <v>45</v>
      </c>
      <c r="N63" s="79"/>
      <c r="O63" s="79"/>
      <c r="P63" s="76"/>
    </row>
    <row r="64" spans="2:16" ht="30" customHeight="1">
      <c r="B64" s="58">
        <v>53</v>
      </c>
      <c r="C64" s="126" t="s">
        <v>922</v>
      </c>
      <c r="D64" s="121"/>
      <c r="E64" s="121"/>
      <c r="F64" s="121"/>
      <c r="G64" s="121"/>
      <c r="H64" s="121"/>
      <c r="I64" s="121"/>
      <c r="J64" s="121"/>
      <c r="K64" s="122"/>
      <c r="L64" s="59"/>
      <c r="M64" s="79" t="s">
        <v>45</v>
      </c>
      <c r="N64" s="79"/>
      <c r="O64" s="79"/>
      <c r="P64" s="76"/>
    </row>
    <row r="65" spans="2:16" ht="30" customHeight="1">
      <c r="B65" s="58">
        <v>54</v>
      </c>
      <c r="C65" s="126" t="s">
        <v>923</v>
      </c>
      <c r="D65" s="121"/>
      <c r="E65" s="121"/>
      <c r="F65" s="121"/>
      <c r="G65" s="121"/>
      <c r="H65" s="121"/>
      <c r="I65" s="121"/>
      <c r="J65" s="121"/>
      <c r="K65" s="122"/>
      <c r="L65" s="59"/>
      <c r="M65" s="79" t="s">
        <v>45</v>
      </c>
      <c r="N65" s="79"/>
      <c r="O65" s="79"/>
      <c r="P65" s="76"/>
    </row>
    <row r="66" spans="2:16" ht="30" customHeight="1">
      <c r="B66" s="37">
        <v>55</v>
      </c>
      <c r="C66" s="126" t="s">
        <v>924</v>
      </c>
      <c r="D66" s="121"/>
      <c r="E66" s="121"/>
      <c r="F66" s="121"/>
      <c r="G66" s="121"/>
      <c r="H66" s="121"/>
      <c r="I66" s="121"/>
      <c r="J66" s="121"/>
      <c r="K66" s="122"/>
      <c r="L66" s="59"/>
      <c r="M66" s="79" t="s">
        <v>45</v>
      </c>
      <c r="N66" s="79"/>
      <c r="O66" s="79"/>
      <c r="P66" s="76"/>
    </row>
    <row r="67" spans="2:16" ht="30" customHeight="1">
      <c r="B67" s="58">
        <v>56</v>
      </c>
      <c r="C67" s="126" t="s">
        <v>925</v>
      </c>
      <c r="D67" s="121"/>
      <c r="E67" s="121"/>
      <c r="F67" s="121"/>
      <c r="G67" s="121"/>
      <c r="H67" s="121"/>
      <c r="I67" s="121"/>
      <c r="J67" s="121"/>
      <c r="K67" s="122"/>
      <c r="L67" s="59"/>
      <c r="M67" s="79" t="s">
        <v>45</v>
      </c>
      <c r="N67" s="79"/>
      <c r="O67" s="79"/>
      <c r="P67" s="76"/>
    </row>
    <row r="68" spans="2:16" ht="30" customHeight="1">
      <c r="B68" s="58">
        <v>57</v>
      </c>
      <c r="C68" s="126" t="s">
        <v>926</v>
      </c>
      <c r="D68" s="121"/>
      <c r="E68" s="121"/>
      <c r="F68" s="121"/>
      <c r="G68" s="121"/>
      <c r="H68" s="121"/>
      <c r="I68" s="121"/>
      <c r="J68" s="121"/>
      <c r="K68" s="122"/>
      <c r="L68" s="59"/>
      <c r="M68" s="79" t="s">
        <v>45</v>
      </c>
      <c r="N68" s="79"/>
      <c r="O68" s="79"/>
      <c r="P68" s="76"/>
    </row>
    <row r="69" spans="2:16" ht="30" customHeight="1">
      <c r="B69" s="37">
        <v>58</v>
      </c>
      <c r="C69" s="126" t="s">
        <v>927</v>
      </c>
      <c r="D69" s="121"/>
      <c r="E69" s="121"/>
      <c r="F69" s="121"/>
      <c r="G69" s="121"/>
      <c r="H69" s="121"/>
      <c r="I69" s="121"/>
      <c r="J69" s="121"/>
      <c r="K69" s="122"/>
      <c r="L69" s="59"/>
      <c r="M69" s="79" t="s">
        <v>45</v>
      </c>
      <c r="N69" s="79"/>
      <c r="O69" s="79"/>
      <c r="P69" s="76"/>
    </row>
    <row r="70" spans="2:16" ht="30" customHeight="1">
      <c r="B70" s="58">
        <v>59</v>
      </c>
      <c r="C70" s="126" t="s">
        <v>928</v>
      </c>
      <c r="D70" s="121"/>
      <c r="E70" s="121"/>
      <c r="F70" s="121"/>
      <c r="G70" s="121"/>
      <c r="H70" s="121"/>
      <c r="I70" s="121"/>
      <c r="J70" s="121"/>
      <c r="K70" s="122"/>
      <c r="L70" s="59"/>
      <c r="M70" s="79" t="s">
        <v>45</v>
      </c>
      <c r="N70" s="79"/>
      <c r="O70" s="79"/>
      <c r="P70" s="76"/>
    </row>
    <row r="71" spans="2:16" ht="30" customHeight="1">
      <c r="B71" s="58">
        <v>60</v>
      </c>
      <c r="C71" s="126" t="s">
        <v>929</v>
      </c>
      <c r="D71" s="121"/>
      <c r="E71" s="121"/>
      <c r="F71" s="121"/>
      <c r="G71" s="121"/>
      <c r="H71" s="121"/>
      <c r="I71" s="121"/>
      <c r="J71" s="121"/>
      <c r="K71" s="122"/>
      <c r="L71" s="59"/>
      <c r="M71" s="79" t="s">
        <v>45</v>
      </c>
      <c r="N71" s="79"/>
      <c r="O71" s="79"/>
      <c r="P71" s="76"/>
    </row>
    <row r="72" spans="2:16" ht="30" customHeight="1">
      <c r="B72" s="37">
        <v>61</v>
      </c>
      <c r="C72" s="126" t="s">
        <v>930</v>
      </c>
      <c r="D72" s="121"/>
      <c r="E72" s="121"/>
      <c r="F72" s="121"/>
      <c r="G72" s="121"/>
      <c r="H72" s="121"/>
      <c r="I72" s="121"/>
      <c r="J72" s="121"/>
      <c r="K72" s="122"/>
      <c r="L72" s="59"/>
      <c r="M72" s="79" t="s">
        <v>45</v>
      </c>
      <c r="N72" s="79"/>
      <c r="O72" s="79"/>
      <c r="P72" s="76"/>
    </row>
    <row r="73" spans="2:16" ht="30" customHeight="1">
      <c r="B73" s="58">
        <v>62</v>
      </c>
      <c r="C73" s="126" t="s">
        <v>931</v>
      </c>
      <c r="D73" s="121"/>
      <c r="E73" s="121"/>
      <c r="F73" s="121"/>
      <c r="G73" s="121"/>
      <c r="H73" s="121"/>
      <c r="I73" s="121"/>
      <c r="J73" s="121"/>
      <c r="K73" s="122"/>
      <c r="L73" s="59"/>
      <c r="M73" s="79" t="s">
        <v>45</v>
      </c>
      <c r="N73" s="79"/>
      <c r="O73" s="79"/>
      <c r="P73" s="76"/>
    </row>
    <row r="74" spans="2:16" ht="30" customHeight="1">
      <c r="B74" s="58">
        <v>63</v>
      </c>
      <c r="C74" s="126" t="s">
        <v>932</v>
      </c>
      <c r="D74" s="121"/>
      <c r="E74" s="121"/>
      <c r="F74" s="121"/>
      <c r="G74" s="121"/>
      <c r="H74" s="121"/>
      <c r="I74" s="121"/>
      <c r="J74" s="121"/>
      <c r="K74" s="122"/>
      <c r="L74" s="59"/>
      <c r="M74" s="79" t="s">
        <v>45</v>
      </c>
      <c r="N74" s="79"/>
      <c r="O74" s="79"/>
      <c r="P74" s="76"/>
    </row>
    <row r="75" spans="2:16" ht="30" customHeight="1">
      <c r="B75" s="37">
        <v>64</v>
      </c>
      <c r="C75" s="126" t="s">
        <v>933</v>
      </c>
      <c r="D75" s="121"/>
      <c r="E75" s="121"/>
      <c r="F75" s="121"/>
      <c r="G75" s="121"/>
      <c r="H75" s="121"/>
      <c r="I75" s="121"/>
      <c r="J75" s="121"/>
      <c r="K75" s="122"/>
      <c r="L75" s="59"/>
      <c r="M75" s="79" t="s">
        <v>45</v>
      </c>
      <c r="N75" s="79"/>
      <c r="O75" s="79"/>
      <c r="P75" s="76"/>
    </row>
    <row r="76" spans="2:16" ht="30" customHeight="1">
      <c r="B76" s="58">
        <v>65</v>
      </c>
      <c r="C76" s="126" t="s">
        <v>934</v>
      </c>
      <c r="D76" s="121"/>
      <c r="E76" s="121"/>
      <c r="F76" s="121"/>
      <c r="G76" s="121"/>
      <c r="H76" s="121"/>
      <c r="I76" s="121"/>
      <c r="J76" s="121"/>
      <c r="K76" s="122"/>
      <c r="L76" s="59"/>
      <c r="M76" s="79" t="s">
        <v>45</v>
      </c>
      <c r="N76" s="79"/>
      <c r="O76" s="79"/>
      <c r="P76" s="76"/>
    </row>
    <row r="77" spans="2:16" ht="30" customHeight="1">
      <c r="B77" s="58">
        <v>66</v>
      </c>
      <c r="C77" s="126" t="s">
        <v>935</v>
      </c>
      <c r="D77" s="121"/>
      <c r="E77" s="121"/>
      <c r="F77" s="121"/>
      <c r="G77" s="121"/>
      <c r="H77" s="121"/>
      <c r="I77" s="121"/>
      <c r="J77" s="121"/>
      <c r="K77" s="122"/>
      <c r="L77" s="59"/>
      <c r="M77" s="79" t="s">
        <v>45</v>
      </c>
      <c r="N77" s="79"/>
      <c r="O77" s="79"/>
      <c r="P77" s="76"/>
    </row>
    <row r="78" spans="2:16" ht="30" customHeight="1">
      <c r="B78" s="37">
        <v>67</v>
      </c>
      <c r="C78" s="126" t="s">
        <v>936</v>
      </c>
      <c r="D78" s="121"/>
      <c r="E78" s="121"/>
      <c r="F78" s="121"/>
      <c r="G78" s="121"/>
      <c r="H78" s="121"/>
      <c r="I78" s="121"/>
      <c r="J78" s="121"/>
      <c r="K78" s="122"/>
      <c r="L78" s="59"/>
      <c r="M78" s="79" t="s">
        <v>45</v>
      </c>
      <c r="N78" s="79"/>
      <c r="O78" s="79"/>
      <c r="P78" s="76"/>
    </row>
    <row r="79" spans="2:16" ht="30" customHeight="1">
      <c r="B79" s="58">
        <v>68</v>
      </c>
      <c r="C79" s="126" t="s">
        <v>937</v>
      </c>
      <c r="D79" s="121"/>
      <c r="E79" s="121"/>
      <c r="F79" s="121"/>
      <c r="G79" s="121"/>
      <c r="H79" s="121"/>
      <c r="I79" s="121"/>
      <c r="J79" s="121"/>
      <c r="K79" s="122"/>
      <c r="L79" s="59"/>
      <c r="M79" s="79" t="s">
        <v>45</v>
      </c>
      <c r="N79" s="79"/>
      <c r="O79" s="79"/>
      <c r="P79" s="76"/>
    </row>
    <row r="80" spans="2:16" ht="30" customHeight="1">
      <c r="B80" s="58">
        <v>69</v>
      </c>
      <c r="C80" s="126" t="s">
        <v>938</v>
      </c>
      <c r="D80" s="121"/>
      <c r="E80" s="121"/>
      <c r="F80" s="121"/>
      <c r="G80" s="121"/>
      <c r="H80" s="121"/>
      <c r="I80" s="121"/>
      <c r="J80" s="121"/>
      <c r="K80" s="122"/>
      <c r="L80" s="59"/>
      <c r="M80" s="79" t="s">
        <v>45</v>
      </c>
      <c r="N80" s="79"/>
      <c r="O80" s="79"/>
      <c r="P80" s="76"/>
    </row>
    <row r="81" spans="2:16" ht="30" customHeight="1">
      <c r="B81" s="37">
        <v>70</v>
      </c>
      <c r="C81" s="126" t="s">
        <v>939</v>
      </c>
      <c r="D81" s="121"/>
      <c r="E81" s="121"/>
      <c r="F81" s="121"/>
      <c r="G81" s="121"/>
      <c r="H81" s="121"/>
      <c r="I81" s="121"/>
      <c r="J81" s="121"/>
      <c r="K81" s="122"/>
      <c r="L81" s="59"/>
      <c r="M81" s="79" t="s">
        <v>45</v>
      </c>
      <c r="N81" s="79"/>
      <c r="O81" s="79"/>
      <c r="P81" s="76"/>
    </row>
    <row r="82" spans="2:16" ht="30" customHeight="1">
      <c r="B82" s="58">
        <v>71</v>
      </c>
      <c r="C82" s="126" t="s">
        <v>940</v>
      </c>
      <c r="D82" s="121"/>
      <c r="E82" s="121"/>
      <c r="F82" s="121"/>
      <c r="G82" s="121"/>
      <c r="H82" s="121"/>
      <c r="I82" s="121"/>
      <c r="J82" s="121"/>
      <c r="K82" s="122"/>
      <c r="L82" s="59"/>
      <c r="M82" s="79" t="s">
        <v>45</v>
      </c>
      <c r="N82" s="79"/>
      <c r="O82" s="79"/>
      <c r="P82" s="76"/>
    </row>
    <row r="83" spans="2:16" ht="30" customHeight="1">
      <c r="B83" s="58">
        <v>72</v>
      </c>
      <c r="C83" s="126" t="s">
        <v>941</v>
      </c>
      <c r="D83" s="121"/>
      <c r="E83" s="121"/>
      <c r="F83" s="121"/>
      <c r="G83" s="121"/>
      <c r="H83" s="121"/>
      <c r="I83" s="121"/>
      <c r="J83" s="121"/>
      <c r="K83" s="122"/>
      <c r="L83" s="59"/>
      <c r="M83" s="79" t="s">
        <v>45</v>
      </c>
      <c r="N83" s="79"/>
      <c r="O83" s="79"/>
      <c r="P83" s="76"/>
    </row>
    <row r="84" spans="2:16" ht="30" customHeight="1">
      <c r="B84" s="37">
        <v>73</v>
      </c>
      <c r="C84" s="126" t="s">
        <v>942</v>
      </c>
      <c r="D84" s="121"/>
      <c r="E84" s="121"/>
      <c r="F84" s="121"/>
      <c r="G84" s="121"/>
      <c r="H84" s="121"/>
      <c r="I84" s="121"/>
      <c r="J84" s="121"/>
      <c r="K84" s="122"/>
      <c r="L84" s="59"/>
      <c r="M84" s="79" t="s">
        <v>45</v>
      </c>
      <c r="N84" s="79"/>
      <c r="O84" s="79"/>
      <c r="P84" s="76"/>
    </row>
    <row r="85" spans="2:16" ht="30" customHeight="1">
      <c r="B85" s="58">
        <v>74</v>
      </c>
      <c r="C85" s="126" t="s">
        <v>943</v>
      </c>
      <c r="D85" s="121"/>
      <c r="E85" s="121"/>
      <c r="F85" s="121"/>
      <c r="G85" s="121"/>
      <c r="H85" s="121"/>
      <c r="I85" s="121"/>
      <c r="J85" s="121"/>
      <c r="K85" s="122"/>
      <c r="L85" s="59"/>
      <c r="M85" s="79" t="s">
        <v>45</v>
      </c>
      <c r="N85" s="79"/>
      <c r="O85" s="79"/>
      <c r="P85" s="76"/>
    </row>
    <row r="86" spans="2:16" ht="30" customHeight="1">
      <c r="B86" s="58">
        <v>75</v>
      </c>
      <c r="C86" s="126" t="s">
        <v>944</v>
      </c>
      <c r="D86" s="121"/>
      <c r="E86" s="121"/>
      <c r="F86" s="121"/>
      <c r="G86" s="121"/>
      <c r="H86" s="121"/>
      <c r="I86" s="121"/>
      <c r="J86" s="121"/>
      <c r="K86" s="122"/>
      <c r="L86" s="59"/>
      <c r="M86" s="79" t="s">
        <v>45</v>
      </c>
      <c r="N86" s="79"/>
      <c r="O86" s="79"/>
      <c r="P86" s="76"/>
    </row>
    <row r="87" spans="2:16" ht="30" customHeight="1">
      <c r="B87" s="37">
        <v>76</v>
      </c>
      <c r="C87" s="126" t="s">
        <v>945</v>
      </c>
      <c r="D87" s="121"/>
      <c r="E87" s="121"/>
      <c r="F87" s="121"/>
      <c r="G87" s="121"/>
      <c r="H87" s="121"/>
      <c r="I87" s="121"/>
      <c r="J87" s="121"/>
      <c r="K87" s="122"/>
      <c r="L87" s="59"/>
      <c r="M87" s="79" t="s">
        <v>45</v>
      </c>
      <c r="N87" s="79"/>
      <c r="O87" s="79"/>
      <c r="P87" s="76"/>
    </row>
    <row r="88" spans="2:16" ht="30" customHeight="1">
      <c r="B88" s="58">
        <v>77</v>
      </c>
      <c r="C88" s="126" t="s">
        <v>946</v>
      </c>
      <c r="D88" s="121"/>
      <c r="E88" s="121"/>
      <c r="F88" s="121"/>
      <c r="G88" s="121"/>
      <c r="H88" s="121"/>
      <c r="I88" s="121"/>
      <c r="J88" s="121"/>
      <c r="K88" s="122"/>
      <c r="L88" s="59"/>
      <c r="M88" s="79" t="s">
        <v>45</v>
      </c>
      <c r="N88" s="79"/>
      <c r="O88" s="79"/>
      <c r="P88" s="76"/>
    </row>
    <row r="89" spans="2:16" ht="30" customHeight="1">
      <c r="B89" s="58">
        <v>78</v>
      </c>
      <c r="C89" s="126" t="s">
        <v>947</v>
      </c>
      <c r="D89" s="121"/>
      <c r="E89" s="121"/>
      <c r="F89" s="121"/>
      <c r="G89" s="121"/>
      <c r="H89" s="121"/>
      <c r="I89" s="121"/>
      <c r="J89" s="121"/>
      <c r="K89" s="122"/>
      <c r="L89" s="59"/>
      <c r="M89" s="79" t="s">
        <v>45</v>
      </c>
      <c r="N89" s="79"/>
      <c r="O89" s="79"/>
      <c r="P89" s="76"/>
    </row>
    <row r="90" spans="2:16" ht="30" customHeight="1">
      <c r="B90" s="37">
        <v>79</v>
      </c>
      <c r="C90" s="126" t="s">
        <v>948</v>
      </c>
      <c r="D90" s="121"/>
      <c r="E90" s="121"/>
      <c r="F90" s="121"/>
      <c r="G90" s="121"/>
      <c r="H90" s="121"/>
      <c r="I90" s="121"/>
      <c r="J90" s="121"/>
      <c r="K90" s="122"/>
      <c r="L90" s="40"/>
      <c r="M90" s="79" t="s">
        <v>45</v>
      </c>
      <c r="N90" s="79"/>
      <c r="O90" s="79"/>
      <c r="P90" s="48"/>
    </row>
    <row r="91" spans="2:16" ht="30" customHeight="1">
      <c r="B91" s="58">
        <v>80</v>
      </c>
      <c r="C91" s="126" t="s">
        <v>949</v>
      </c>
      <c r="D91" s="121"/>
      <c r="E91" s="121"/>
      <c r="F91" s="121"/>
      <c r="G91" s="121"/>
      <c r="H91" s="121"/>
      <c r="I91" s="121"/>
      <c r="J91" s="121"/>
      <c r="K91" s="122"/>
      <c r="M91" s="79" t="s">
        <v>45</v>
      </c>
      <c r="N91" s="79"/>
      <c r="O91" s="79"/>
      <c r="P91" s="48"/>
    </row>
    <row r="92" spans="2:16" ht="30" customHeight="1">
      <c r="B92" s="58">
        <v>81</v>
      </c>
      <c r="C92" s="126" t="s">
        <v>950</v>
      </c>
      <c r="D92" s="121"/>
      <c r="E92" s="121"/>
      <c r="F92" s="121"/>
      <c r="G92" s="121"/>
      <c r="H92" s="121"/>
      <c r="I92" s="121"/>
      <c r="J92" s="121"/>
      <c r="K92" s="122"/>
      <c r="M92" s="79" t="s">
        <v>45</v>
      </c>
      <c r="N92" s="79"/>
      <c r="O92" s="79"/>
      <c r="P92" s="48"/>
    </row>
    <row r="93" spans="2:16" ht="30" customHeight="1">
      <c r="B93" s="37">
        <v>82</v>
      </c>
      <c r="C93" s="126" t="s">
        <v>951</v>
      </c>
      <c r="D93" s="121"/>
      <c r="E93" s="121"/>
      <c r="F93" s="121"/>
      <c r="G93" s="121"/>
      <c r="H93" s="121"/>
      <c r="I93" s="121"/>
      <c r="J93" s="121"/>
      <c r="K93" s="122"/>
      <c r="L93" s="38"/>
      <c r="M93" s="79" t="s">
        <v>45</v>
      </c>
      <c r="N93" s="79"/>
      <c r="O93" s="79"/>
      <c r="P93" s="48"/>
    </row>
    <row r="94" spans="2:16" ht="30" customHeight="1">
      <c r="B94" s="58">
        <v>83</v>
      </c>
      <c r="C94" s="126" t="s">
        <v>952</v>
      </c>
      <c r="D94" s="121"/>
      <c r="E94" s="121"/>
      <c r="F94" s="121"/>
      <c r="G94" s="121"/>
      <c r="H94" s="121"/>
      <c r="I94" s="121"/>
      <c r="J94" s="121"/>
      <c r="K94" s="122"/>
      <c r="L94" s="40"/>
      <c r="M94" s="79" t="s">
        <v>45</v>
      </c>
      <c r="N94" s="79"/>
      <c r="O94" s="79"/>
      <c r="P94" s="48"/>
    </row>
    <row r="95" spans="2:16" ht="30" customHeight="1">
      <c r="B95" s="58">
        <v>84</v>
      </c>
      <c r="C95" s="126" t="s">
        <v>953</v>
      </c>
      <c r="D95" s="121"/>
      <c r="E95" s="121"/>
      <c r="F95" s="121"/>
      <c r="G95" s="121"/>
      <c r="H95" s="121"/>
      <c r="I95" s="121"/>
      <c r="J95" s="121"/>
      <c r="K95" s="122"/>
      <c r="M95" s="79" t="s">
        <v>45</v>
      </c>
      <c r="N95" s="79"/>
      <c r="O95" s="79"/>
      <c r="P95" s="48"/>
    </row>
    <row r="96" spans="2:16" ht="30" customHeight="1">
      <c r="B96" s="37">
        <v>85</v>
      </c>
      <c r="C96" s="126" t="s">
        <v>954</v>
      </c>
      <c r="D96" s="121"/>
      <c r="E96" s="121"/>
      <c r="F96" s="121"/>
      <c r="G96" s="121"/>
      <c r="H96" s="121"/>
      <c r="I96" s="121"/>
      <c r="J96" s="121"/>
      <c r="K96" s="122"/>
      <c r="M96" s="79" t="s">
        <v>45</v>
      </c>
      <c r="N96" s="79"/>
      <c r="O96" s="79"/>
      <c r="P96" s="48"/>
    </row>
    <row r="97" spans="2:16" ht="30" customHeight="1">
      <c r="B97" s="58">
        <v>86</v>
      </c>
      <c r="C97" s="120"/>
      <c r="D97" s="121"/>
      <c r="E97" s="121"/>
      <c r="F97" s="121"/>
      <c r="G97" s="121"/>
      <c r="H97" s="121"/>
      <c r="I97" s="121"/>
      <c r="J97" s="121"/>
      <c r="K97" s="122"/>
      <c r="M97" s="79"/>
      <c r="N97" s="79"/>
      <c r="O97" s="79"/>
      <c r="P97" s="48"/>
    </row>
    <row r="98" spans="2:16" ht="14.25" customHeight="1"/>
    <row r="99" spans="2:16" ht="14.25" customHeight="1"/>
    <row r="100" spans="2:16" ht="14.25" customHeight="1"/>
    <row r="101" spans="2:16" ht="14.25" customHeight="1"/>
    <row r="102" spans="2:16" ht="14.25" customHeight="1"/>
    <row r="103" spans="2:16" ht="14.25" customHeight="1"/>
    <row r="104" spans="2:16" ht="14.25" customHeight="1"/>
    <row r="105" spans="2:16" ht="14.25" customHeight="1"/>
    <row r="106" spans="2:16" ht="14.25" customHeight="1"/>
    <row r="107" spans="2:16" ht="14.25" customHeight="1"/>
    <row r="108" spans="2:16" ht="14.25" customHeight="1"/>
    <row r="109" spans="2:16" ht="14.25" customHeight="1"/>
    <row r="110" spans="2:16" ht="14.25" customHeight="1"/>
    <row r="111" spans="2:16" ht="14.25" customHeight="1"/>
    <row r="112" spans="2:16"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row r="1059" ht="14.25" customHeight="1"/>
    <row r="1060" ht="14.25" customHeight="1"/>
    <row r="1061" ht="14.25" customHeight="1"/>
    <row r="1062" ht="14.25" customHeight="1"/>
    <row r="1063" ht="14.25" customHeight="1"/>
    <row r="1064" ht="14.25" customHeight="1"/>
    <row r="1065" ht="14.25" customHeight="1"/>
    <row r="1066" ht="14.25" customHeight="1"/>
    <row r="1067" ht="14.25" customHeight="1"/>
    <row r="1068" ht="14.25" customHeight="1"/>
    <row r="1069" ht="14.25" customHeight="1"/>
    <row r="1070" ht="14.25" customHeight="1"/>
    <row r="1071" ht="14.25" customHeight="1"/>
    <row r="1072" ht="14.25" customHeight="1"/>
    <row r="1073" ht="14.25" customHeight="1"/>
    <row r="1074" ht="14.25" customHeight="1"/>
    <row r="1075" ht="14.25" customHeight="1"/>
    <row r="1076" ht="14.25" customHeight="1"/>
    <row r="1077" ht="14.25" customHeight="1"/>
  </sheetData>
  <mergeCells count="94">
    <mergeCell ref="C41:K41"/>
    <mergeCell ref="C36:K36"/>
    <mergeCell ref="C37:K37"/>
    <mergeCell ref="C38:K38"/>
    <mergeCell ref="C39:K39"/>
    <mergeCell ref="C40:K40"/>
    <mergeCell ref="C31:K31"/>
    <mergeCell ref="C32:K32"/>
    <mergeCell ref="C33:K33"/>
    <mergeCell ref="C34:K34"/>
    <mergeCell ref="C35:K35"/>
    <mergeCell ref="C26:K26"/>
    <mergeCell ref="C27:K27"/>
    <mergeCell ref="C28:K28"/>
    <mergeCell ref="C29:K29"/>
    <mergeCell ref="C30:K30"/>
    <mergeCell ref="C21:K21"/>
    <mergeCell ref="C22:K22"/>
    <mergeCell ref="C23:K23"/>
    <mergeCell ref="C24:K24"/>
    <mergeCell ref="C25:K25"/>
    <mergeCell ref="C61:K61"/>
    <mergeCell ref="C62:K62"/>
    <mergeCell ref="C63:K63"/>
    <mergeCell ref="C64:K64"/>
    <mergeCell ref="C65:K65"/>
    <mergeCell ref="C56:K56"/>
    <mergeCell ref="C57:K57"/>
    <mergeCell ref="C58:K58"/>
    <mergeCell ref="C59:K59"/>
    <mergeCell ref="C60:K60"/>
    <mergeCell ref="C51:K51"/>
    <mergeCell ref="C52:K52"/>
    <mergeCell ref="C53:K53"/>
    <mergeCell ref="C54:K54"/>
    <mergeCell ref="C55:K55"/>
    <mergeCell ref="C46:K46"/>
    <mergeCell ref="C47:K47"/>
    <mergeCell ref="C48:K48"/>
    <mergeCell ref="C49:K49"/>
    <mergeCell ref="C50:K50"/>
    <mergeCell ref="C78:K78"/>
    <mergeCell ref="C79:K79"/>
    <mergeCell ref="C80:K80"/>
    <mergeCell ref="C81:K81"/>
    <mergeCell ref="C13:K13"/>
    <mergeCell ref="C14:K14"/>
    <mergeCell ref="C15:K15"/>
    <mergeCell ref="C16:K16"/>
    <mergeCell ref="C17:K17"/>
    <mergeCell ref="C18:K18"/>
    <mergeCell ref="C19:K19"/>
    <mergeCell ref="C20:K20"/>
    <mergeCell ref="C42:K42"/>
    <mergeCell ref="C43:K43"/>
    <mergeCell ref="C44:K44"/>
    <mergeCell ref="C45:K45"/>
    <mergeCell ref="C86:K86"/>
    <mergeCell ref="C87:K87"/>
    <mergeCell ref="C88:K88"/>
    <mergeCell ref="C89:K89"/>
    <mergeCell ref="C66:K66"/>
    <mergeCell ref="C67:K67"/>
    <mergeCell ref="C68:K68"/>
    <mergeCell ref="C69:K69"/>
    <mergeCell ref="C70:K70"/>
    <mergeCell ref="C71:K71"/>
    <mergeCell ref="C72:K72"/>
    <mergeCell ref="C73:K73"/>
    <mergeCell ref="C74:K74"/>
    <mergeCell ref="C75:K75"/>
    <mergeCell ref="C76:K76"/>
    <mergeCell ref="C77:K77"/>
    <mergeCell ref="C2:G2"/>
    <mergeCell ref="C3:G3"/>
    <mergeCell ref="C4:G4"/>
    <mergeCell ref="B5:C5"/>
    <mergeCell ref="M8:O8"/>
    <mergeCell ref="P8:P9"/>
    <mergeCell ref="D9:I9"/>
    <mergeCell ref="C95:K95"/>
    <mergeCell ref="C96:K96"/>
    <mergeCell ref="C97:K97"/>
    <mergeCell ref="C11:E11"/>
    <mergeCell ref="C12:K12"/>
    <mergeCell ref="C90:K90"/>
    <mergeCell ref="C91:K91"/>
    <mergeCell ref="C92:K92"/>
    <mergeCell ref="C93:K93"/>
    <mergeCell ref="C94:K94"/>
    <mergeCell ref="C82:K82"/>
    <mergeCell ref="C83:K83"/>
    <mergeCell ref="C84:K84"/>
    <mergeCell ref="C85:K85"/>
  </mergeCells>
  <hyperlinks>
    <hyperlink ref="V2" location="'REQ. NO FUN. GEN'!A1" display="Volver" xr:uid="{00000000-0004-0000-0D00-000000000000}"/>
  </hyperlink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V932"/>
  <sheetViews>
    <sheetView topLeftCell="A47" workbookViewId="0">
      <selection activeCell="S62" sqref="S62"/>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35" t="s">
        <v>32</v>
      </c>
      <c r="D2" s="136"/>
      <c r="E2" s="136"/>
      <c r="F2" s="136"/>
      <c r="G2" s="136"/>
      <c r="V2" s="52"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c r="S8" s="49"/>
    </row>
    <row r="9" spans="2:22" ht="14.25" customHeight="1">
      <c r="B9" s="31"/>
      <c r="C9" s="129" t="s">
        <v>233</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t="s">
        <v>234</v>
      </c>
      <c r="D12" s="121"/>
      <c r="E12" s="121"/>
      <c r="F12" s="121"/>
      <c r="G12" s="121"/>
      <c r="H12" s="121"/>
      <c r="I12" s="121"/>
      <c r="J12" s="121"/>
      <c r="K12" s="122"/>
      <c r="L12" s="38"/>
      <c r="M12" s="39" t="s">
        <v>45</v>
      </c>
      <c r="N12" s="39"/>
      <c r="O12" s="39"/>
      <c r="P12" s="39"/>
    </row>
    <row r="13" spans="2:22" ht="30" customHeight="1">
      <c r="B13" s="31">
        <v>2</v>
      </c>
      <c r="C13" s="120" t="s">
        <v>235</v>
      </c>
      <c r="D13" s="121"/>
      <c r="E13" s="121"/>
      <c r="F13" s="121"/>
      <c r="G13" s="121"/>
      <c r="H13" s="121"/>
      <c r="I13" s="121"/>
      <c r="J13" s="121"/>
      <c r="K13" s="122"/>
      <c r="L13" s="40"/>
      <c r="M13" s="39" t="s">
        <v>45</v>
      </c>
      <c r="N13" s="39"/>
      <c r="O13" s="39"/>
      <c r="P13" s="39"/>
    </row>
    <row r="14" spans="2:22" ht="30" customHeight="1">
      <c r="B14" s="37">
        <v>3</v>
      </c>
      <c r="C14" s="120" t="s">
        <v>236</v>
      </c>
      <c r="D14" s="121"/>
      <c r="E14" s="121"/>
      <c r="F14" s="121"/>
      <c r="G14" s="121"/>
      <c r="H14" s="121"/>
      <c r="I14" s="121"/>
      <c r="J14" s="121"/>
      <c r="K14" s="122"/>
      <c r="M14" s="39" t="s">
        <v>45</v>
      </c>
      <c r="N14" s="39"/>
      <c r="O14" s="39"/>
      <c r="P14" s="39"/>
    </row>
    <row r="15" spans="2:22" ht="30" customHeight="1">
      <c r="B15" s="37">
        <v>4</v>
      </c>
      <c r="C15" s="120" t="s">
        <v>580</v>
      </c>
      <c r="D15" s="121"/>
      <c r="E15" s="121"/>
      <c r="F15" s="121"/>
      <c r="G15" s="121"/>
      <c r="H15" s="121"/>
      <c r="I15" s="121"/>
      <c r="J15" s="121"/>
      <c r="K15" s="122"/>
      <c r="M15" s="39" t="s">
        <v>45</v>
      </c>
      <c r="N15" s="39"/>
      <c r="O15" s="39"/>
      <c r="P15" s="39"/>
      <c r="R15" s="43"/>
    </row>
    <row r="16" spans="2:22" ht="30" customHeight="1">
      <c r="B16" s="31">
        <v>5</v>
      </c>
      <c r="C16" s="120" t="s">
        <v>683</v>
      </c>
      <c r="D16" s="121"/>
      <c r="E16" s="121"/>
      <c r="F16" s="121"/>
      <c r="G16" s="121"/>
      <c r="H16" s="121"/>
      <c r="I16" s="121"/>
      <c r="J16" s="121"/>
      <c r="K16" s="122"/>
      <c r="M16" s="39" t="s">
        <v>45</v>
      </c>
      <c r="N16" s="39"/>
      <c r="O16" s="39"/>
      <c r="P16" s="39"/>
      <c r="R16" s="43"/>
    </row>
    <row r="17" spans="2:18" ht="30" customHeight="1">
      <c r="B17" s="37">
        <v>6</v>
      </c>
      <c r="C17" s="120" t="s">
        <v>237</v>
      </c>
      <c r="D17" s="121"/>
      <c r="E17" s="121"/>
      <c r="F17" s="121"/>
      <c r="G17" s="121"/>
      <c r="H17" s="121"/>
      <c r="I17" s="121"/>
      <c r="J17" s="121"/>
      <c r="K17" s="122"/>
      <c r="L17" s="38"/>
      <c r="M17" s="39" t="s">
        <v>45</v>
      </c>
      <c r="N17" s="39"/>
      <c r="O17" s="39"/>
      <c r="P17" s="39"/>
    </row>
    <row r="18" spans="2:18" ht="30" customHeight="1">
      <c r="B18" s="37">
        <v>7</v>
      </c>
      <c r="C18" s="120" t="s">
        <v>238</v>
      </c>
      <c r="D18" s="121"/>
      <c r="E18" s="121"/>
      <c r="F18" s="121"/>
      <c r="G18" s="121"/>
      <c r="H18" s="121"/>
      <c r="I18" s="121"/>
      <c r="J18" s="121"/>
      <c r="K18" s="122"/>
      <c r="L18" s="40"/>
      <c r="M18" s="39" t="s">
        <v>45</v>
      </c>
      <c r="N18" s="39"/>
      <c r="O18" s="39"/>
      <c r="P18" s="39"/>
    </row>
    <row r="19" spans="2:18" ht="30" customHeight="1">
      <c r="B19" s="31">
        <v>8</v>
      </c>
      <c r="C19" s="120" t="s">
        <v>239</v>
      </c>
      <c r="D19" s="121"/>
      <c r="E19" s="121"/>
      <c r="F19" s="121"/>
      <c r="G19" s="121"/>
      <c r="H19" s="121"/>
      <c r="I19" s="121"/>
      <c r="J19" s="121"/>
      <c r="K19" s="122"/>
      <c r="L19" s="40"/>
      <c r="M19" s="39" t="s">
        <v>45</v>
      </c>
      <c r="N19" s="39"/>
      <c r="O19" s="39"/>
      <c r="P19" s="39"/>
    </row>
    <row r="20" spans="2:18" ht="30" customHeight="1">
      <c r="B20" s="37">
        <v>9</v>
      </c>
      <c r="C20" s="120" t="s">
        <v>240</v>
      </c>
      <c r="D20" s="121"/>
      <c r="E20" s="121"/>
      <c r="F20" s="121"/>
      <c r="G20" s="121"/>
      <c r="H20" s="121"/>
      <c r="I20" s="121"/>
      <c r="J20" s="121"/>
      <c r="K20" s="122"/>
      <c r="L20" s="40"/>
      <c r="M20" s="39" t="s">
        <v>45</v>
      </c>
      <c r="N20" s="39"/>
      <c r="O20" s="39"/>
      <c r="P20" s="39"/>
    </row>
    <row r="21" spans="2:18" ht="30" customHeight="1">
      <c r="B21" s="37">
        <v>10</v>
      </c>
      <c r="C21" s="120" t="s">
        <v>241</v>
      </c>
      <c r="D21" s="121"/>
      <c r="E21" s="121"/>
      <c r="F21" s="121"/>
      <c r="G21" s="121"/>
      <c r="H21" s="121"/>
      <c r="I21" s="121"/>
      <c r="J21" s="121"/>
      <c r="K21" s="122"/>
      <c r="L21" s="40"/>
      <c r="M21" s="39" t="s">
        <v>45</v>
      </c>
      <c r="N21" s="39"/>
      <c r="O21" s="39"/>
      <c r="P21" s="39"/>
    </row>
    <row r="22" spans="2:18" ht="30" customHeight="1">
      <c r="B22" s="31">
        <v>11</v>
      </c>
      <c r="C22" s="120" t="s">
        <v>242</v>
      </c>
      <c r="D22" s="121"/>
      <c r="E22" s="121"/>
      <c r="F22" s="121"/>
      <c r="G22" s="121"/>
      <c r="H22" s="121"/>
      <c r="I22" s="121"/>
      <c r="J22" s="121"/>
      <c r="K22" s="122"/>
      <c r="M22" s="39" t="s">
        <v>45</v>
      </c>
      <c r="N22" s="39"/>
      <c r="O22" s="39"/>
      <c r="P22" s="39"/>
    </row>
    <row r="23" spans="2:18" ht="30" customHeight="1">
      <c r="B23" s="37">
        <v>12</v>
      </c>
      <c r="C23" s="120" t="s">
        <v>243</v>
      </c>
      <c r="D23" s="121"/>
      <c r="E23" s="121"/>
      <c r="F23" s="121"/>
      <c r="G23" s="121"/>
      <c r="H23" s="121"/>
      <c r="I23" s="121"/>
      <c r="J23" s="121"/>
      <c r="K23" s="122"/>
      <c r="M23" s="39" t="s">
        <v>45</v>
      </c>
      <c r="N23" s="39"/>
      <c r="O23" s="39"/>
      <c r="P23" s="39"/>
    </row>
    <row r="24" spans="2:18" ht="30" customHeight="1">
      <c r="B24" s="37">
        <v>13</v>
      </c>
      <c r="C24" s="120" t="s">
        <v>244</v>
      </c>
      <c r="D24" s="121"/>
      <c r="E24" s="121"/>
      <c r="F24" s="121"/>
      <c r="G24" s="121"/>
      <c r="H24" s="121"/>
      <c r="I24" s="121"/>
      <c r="J24" s="121"/>
      <c r="K24" s="122"/>
      <c r="L24" s="38"/>
      <c r="M24" s="39" t="s">
        <v>45</v>
      </c>
      <c r="N24" s="39"/>
      <c r="O24" s="39"/>
      <c r="P24" s="39"/>
    </row>
    <row r="25" spans="2:18" ht="30" customHeight="1">
      <c r="B25" s="31">
        <v>14</v>
      </c>
      <c r="C25" s="120" t="s">
        <v>245</v>
      </c>
      <c r="D25" s="121"/>
      <c r="E25" s="121"/>
      <c r="F25" s="121"/>
      <c r="G25" s="121"/>
      <c r="H25" s="121"/>
      <c r="I25" s="121"/>
      <c r="J25" s="121"/>
      <c r="K25" s="122"/>
      <c r="L25" s="42"/>
      <c r="M25" s="39" t="s">
        <v>45</v>
      </c>
      <c r="N25" s="39"/>
      <c r="O25" s="39"/>
      <c r="P25" s="39"/>
    </row>
    <row r="26" spans="2:18" ht="30" customHeight="1">
      <c r="B26" s="37">
        <v>15</v>
      </c>
      <c r="C26" s="120" t="s">
        <v>246</v>
      </c>
      <c r="D26" s="121"/>
      <c r="E26" s="121"/>
      <c r="F26" s="121"/>
      <c r="G26" s="121"/>
      <c r="H26" s="121"/>
      <c r="I26" s="121"/>
      <c r="J26" s="121"/>
      <c r="K26" s="122"/>
      <c r="L26" s="42"/>
      <c r="M26" s="39" t="s">
        <v>45</v>
      </c>
      <c r="N26" s="39"/>
      <c r="O26" s="39"/>
      <c r="P26" s="39"/>
      <c r="R26" s="49"/>
    </row>
    <row r="27" spans="2:18" ht="30" customHeight="1">
      <c r="B27" s="37">
        <v>16</v>
      </c>
      <c r="C27" s="120" t="s">
        <v>247</v>
      </c>
      <c r="D27" s="121"/>
      <c r="E27" s="121"/>
      <c r="F27" s="121"/>
      <c r="G27" s="121"/>
      <c r="H27" s="121"/>
      <c r="I27" s="121"/>
      <c r="J27" s="121"/>
      <c r="K27" s="122"/>
      <c r="L27" s="42"/>
      <c r="M27" s="39"/>
      <c r="N27" s="39" t="s">
        <v>45</v>
      </c>
      <c r="O27" s="39"/>
      <c r="P27" s="39"/>
      <c r="R27" s="49"/>
    </row>
    <row r="28" spans="2:18" ht="30" customHeight="1">
      <c r="B28" s="31">
        <v>17</v>
      </c>
      <c r="C28" s="120" t="s">
        <v>248</v>
      </c>
      <c r="D28" s="121"/>
      <c r="E28" s="121"/>
      <c r="F28" s="121"/>
      <c r="G28" s="121"/>
      <c r="H28" s="121"/>
      <c r="I28" s="121"/>
      <c r="J28" s="121"/>
      <c r="K28" s="122"/>
      <c r="L28" s="42"/>
      <c r="M28" s="39" t="s">
        <v>45</v>
      </c>
      <c r="N28" s="39"/>
      <c r="O28" s="39"/>
      <c r="P28" s="39"/>
      <c r="R28" s="49"/>
    </row>
    <row r="29" spans="2:18" ht="30" customHeight="1">
      <c r="B29" s="37">
        <v>18</v>
      </c>
      <c r="C29" s="120" t="s">
        <v>249</v>
      </c>
      <c r="D29" s="121"/>
      <c r="E29" s="121"/>
      <c r="F29" s="121"/>
      <c r="G29" s="121"/>
      <c r="H29" s="121"/>
      <c r="I29" s="121"/>
      <c r="J29" s="121"/>
      <c r="K29" s="122"/>
      <c r="L29" s="42"/>
      <c r="M29" s="39" t="s">
        <v>45</v>
      </c>
      <c r="N29" s="39"/>
      <c r="O29" s="39"/>
      <c r="P29" s="39"/>
      <c r="R29" s="49"/>
    </row>
    <row r="30" spans="2:18" ht="30" customHeight="1">
      <c r="B30" s="37">
        <v>19</v>
      </c>
      <c r="C30" s="126" t="s">
        <v>1055</v>
      </c>
      <c r="D30" s="121"/>
      <c r="E30" s="121"/>
      <c r="F30" s="121"/>
      <c r="G30" s="121"/>
      <c r="H30" s="121"/>
      <c r="I30" s="121"/>
      <c r="J30" s="121"/>
      <c r="K30" s="122"/>
      <c r="L30" s="42"/>
      <c r="M30" s="75" t="s">
        <v>45</v>
      </c>
      <c r="N30" s="39"/>
      <c r="O30" s="39"/>
      <c r="P30" s="39"/>
      <c r="R30" s="49"/>
    </row>
    <row r="31" spans="2:18" ht="30" customHeight="1">
      <c r="B31" s="31">
        <v>20</v>
      </c>
      <c r="C31" s="120" t="s">
        <v>250</v>
      </c>
      <c r="D31" s="121"/>
      <c r="E31" s="121"/>
      <c r="F31" s="121"/>
      <c r="G31" s="121"/>
      <c r="H31" s="121"/>
      <c r="I31" s="121"/>
      <c r="J31" s="121"/>
      <c r="K31" s="122"/>
      <c r="L31" s="42"/>
      <c r="M31" s="39" t="s">
        <v>45</v>
      </c>
      <c r="N31" s="39"/>
      <c r="O31" s="39"/>
      <c r="P31" s="39"/>
      <c r="R31" s="49"/>
    </row>
    <row r="32" spans="2:18" ht="30" customHeight="1">
      <c r="B32" s="37">
        <v>21</v>
      </c>
      <c r="C32" s="126" t="s">
        <v>1056</v>
      </c>
      <c r="D32" s="121"/>
      <c r="E32" s="121"/>
      <c r="F32" s="121"/>
      <c r="G32" s="121"/>
      <c r="H32" s="121"/>
      <c r="I32" s="121"/>
      <c r="J32" s="121"/>
      <c r="K32" s="122"/>
      <c r="L32" s="42"/>
      <c r="M32" s="75" t="s">
        <v>45</v>
      </c>
      <c r="N32" s="39"/>
      <c r="O32" s="39"/>
      <c r="P32" s="39"/>
      <c r="R32" s="49"/>
    </row>
    <row r="33" spans="2:18" ht="30" customHeight="1">
      <c r="B33" s="37">
        <v>22</v>
      </c>
      <c r="C33" s="126" t="s">
        <v>1057</v>
      </c>
      <c r="D33" s="121"/>
      <c r="E33" s="121"/>
      <c r="F33" s="121"/>
      <c r="G33" s="121"/>
      <c r="H33" s="121"/>
      <c r="I33" s="121"/>
      <c r="J33" s="121"/>
      <c r="K33" s="122"/>
      <c r="L33" s="42"/>
      <c r="M33" s="75" t="s">
        <v>45</v>
      </c>
      <c r="N33" s="39"/>
      <c r="O33" s="39"/>
      <c r="P33" s="39"/>
      <c r="R33" s="49"/>
    </row>
    <row r="34" spans="2:18" ht="30" customHeight="1">
      <c r="B34" s="31">
        <v>23</v>
      </c>
      <c r="C34" s="126" t="s">
        <v>1058</v>
      </c>
      <c r="D34" s="121"/>
      <c r="E34" s="121"/>
      <c r="F34" s="121"/>
      <c r="G34" s="121"/>
      <c r="H34" s="121"/>
      <c r="I34" s="121"/>
      <c r="J34" s="121"/>
      <c r="K34" s="122"/>
      <c r="L34" s="42"/>
      <c r="M34" s="75" t="s">
        <v>45</v>
      </c>
      <c r="N34" s="39"/>
      <c r="O34" s="39"/>
      <c r="P34" s="39"/>
      <c r="R34" s="49"/>
    </row>
    <row r="35" spans="2:18" ht="30" customHeight="1">
      <c r="B35" s="37">
        <v>24</v>
      </c>
      <c r="C35" s="120" t="s">
        <v>581</v>
      </c>
      <c r="D35" s="121"/>
      <c r="E35" s="121"/>
      <c r="F35" s="121"/>
      <c r="G35" s="121"/>
      <c r="H35" s="121"/>
      <c r="I35" s="121"/>
      <c r="J35" s="121"/>
      <c r="K35" s="122"/>
      <c r="L35" s="42"/>
      <c r="M35" s="39" t="s">
        <v>45</v>
      </c>
      <c r="N35" s="39"/>
      <c r="O35" s="39"/>
      <c r="P35" s="39"/>
      <c r="R35" s="49"/>
    </row>
    <row r="36" spans="2:18" ht="30" customHeight="1">
      <c r="B36" s="37">
        <v>25</v>
      </c>
      <c r="C36" s="120" t="s">
        <v>251</v>
      </c>
      <c r="D36" s="121"/>
      <c r="E36" s="121"/>
      <c r="F36" s="121"/>
      <c r="G36" s="121"/>
      <c r="H36" s="121"/>
      <c r="I36" s="121"/>
      <c r="J36" s="121"/>
      <c r="K36" s="122"/>
      <c r="L36" s="42"/>
      <c r="M36" s="39" t="s">
        <v>45</v>
      </c>
      <c r="N36" s="39"/>
      <c r="O36" s="39"/>
      <c r="P36" s="39"/>
    </row>
    <row r="37" spans="2:18" ht="30" customHeight="1">
      <c r="B37" s="31">
        <v>26</v>
      </c>
      <c r="C37" s="120" t="s">
        <v>252</v>
      </c>
      <c r="D37" s="121"/>
      <c r="E37" s="121"/>
      <c r="F37" s="121"/>
      <c r="G37" s="121"/>
      <c r="H37" s="121"/>
      <c r="I37" s="121"/>
      <c r="J37" s="121"/>
      <c r="K37" s="122"/>
      <c r="L37" s="42"/>
      <c r="M37" s="39" t="s">
        <v>45</v>
      </c>
      <c r="N37" s="39"/>
      <c r="O37" s="39"/>
      <c r="P37" s="39"/>
      <c r="R37" s="49"/>
    </row>
    <row r="38" spans="2:18" ht="30" customHeight="1">
      <c r="B38" s="37">
        <v>27</v>
      </c>
      <c r="C38" s="120" t="s">
        <v>253</v>
      </c>
      <c r="D38" s="121"/>
      <c r="E38" s="121"/>
      <c r="F38" s="121"/>
      <c r="G38" s="121"/>
      <c r="H38" s="121"/>
      <c r="I38" s="121"/>
      <c r="J38" s="121"/>
      <c r="K38" s="122"/>
      <c r="L38" s="42"/>
      <c r="M38" s="39" t="s">
        <v>45</v>
      </c>
      <c r="N38" s="39"/>
      <c r="O38" s="39"/>
      <c r="P38" s="39"/>
    </row>
    <row r="39" spans="2:18" ht="30" customHeight="1">
      <c r="B39" s="37">
        <v>28</v>
      </c>
      <c r="C39" s="120" t="s">
        <v>673</v>
      </c>
      <c r="D39" s="121"/>
      <c r="E39" s="121"/>
      <c r="F39" s="121"/>
      <c r="G39" s="121"/>
      <c r="H39" s="121"/>
      <c r="I39" s="121"/>
      <c r="J39" s="121"/>
      <c r="K39" s="122"/>
      <c r="L39" s="42"/>
      <c r="M39" s="39" t="s">
        <v>45</v>
      </c>
      <c r="N39" s="39"/>
      <c r="O39" s="39"/>
      <c r="P39" s="39"/>
      <c r="R39" s="43"/>
    </row>
    <row r="40" spans="2:18" ht="30" customHeight="1">
      <c r="B40" s="31">
        <v>29</v>
      </c>
      <c r="C40" s="120" t="s">
        <v>254</v>
      </c>
      <c r="D40" s="121"/>
      <c r="E40" s="121"/>
      <c r="F40" s="121"/>
      <c r="G40" s="121"/>
      <c r="H40" s="121"/>
      <c r="I40" s="121"/>
      <c r="J40" s="121"/>
      <c r="K40" s="122"/>
      <c r="L40" s="42"/>
      <c r="M40" s="39" t="s">
        <v>45</v>
      </c>
      <c r="N40" s="39"/>
      <c r="O40" s="39"/>
      <c r="P40" s="39"/>
    </row>
    <row r="41" spans="2:18" ht="30" customHeight="1">
      <c r="B41" s="37">
        <v>30</v>
      </c>
      <c r="C41" s="120" t="s">
        <v>255</v>
      </c>
      <c r="D41" s="121"/>
      <c r="E41" s="121"/>
      <c r="F41" s="121"/>
      <c r="G41" s="121"/>
      <c r="H41" s="121"/>
      <c r="I41" s="121"/>
      <c r="J41" s="121"/>
      <c r="K41" s="122"/>
      <c r="L41" s="42"/>
      <c r="M41" s="39" t="s">
        <v>45</v>
      </c>
      <c r="N41" s="39"/>
      <c r="O41" s="39"/>
      <c r="P41" s="39"/>
    </row>
    <row r="42" spans="2:18" ht="30" customHeight="1">
      <c r="B42" s="37">
        <v>31</v>
      </c>
      <c r="C42" s="120" t="s">
        <v>675</v>
      </c>
      <c r="D42" s="121"/>
      <c r="E42" s="121"/>
      <c r="F42" s="121"/>
      <c r="G42" s="121"/>
      <c r="H42" s="121"/>
      <c r="I42" s="121"/>
      <c r="J42" s="121"/>
      <c r="K42" s="122"/>
      <c r="L42" s="42"/>
      <c r="M42" s="39" t="s">
        <v>45</v>
      </c>
      <c r="N42" s="39"/>
      <c r="O42" s="39"/>
      <c r="P42" s="39"/>
    </row>
    <row r="43" spans="2:18" ht="30" customHeight="1">
      <c r="B43" s="31">
        <v>32</v>
      </c>
      <c r="C43" s="120" t="s">
        <v>674</v>
      </c>
      <c r="D43" s="121"/>
      <c r="E43" s="121"/>
      <c r="F43" s="121"/>
      <c r="G43" s="121"/>
      <c r="H43" s="121"/>
      <c r="I43" s="121"/>
      <c r="J43" s="121"/>
      <c r="K43" s="122"/>
      <c r="L43" s="42"/>
      <c r="M43" s="39" t="s">
        <v>45</v>
      </c>
      <c r="N43" s="39"/>
      <c r="O43" s="39"/>
      <c r="P43" s="39"/>
    </row>
    <row r="44" spans="2:18" ht="30" customHeight="1">
      <c r="B44" s="37">
        <v>33</v>
      </c>
      <c r="C44" s="120" t="s">
        <v>256</v>
      </c>
      <c r="D44" s="121"/>
      <c r="E44" s="121"/>
      <c r="F44" s="121"/>
      <c r="G44" s="121"/>
      <c r="H44" s="121"/>
      <c r="I44" s="121"/>
      <c r="J44" s="121"/>
      <c r="K44" s="122"/>
      <c r="L44" s="42"/>
      <c r="M44" s="39" t="s">
        <v>45</v>
      </c>
      <c r="N44" s="39"/>
      <c r="O44" s="39"/>
      <c r="P44" s="39"/>
    </row>
    <row r="45" spans="2:18" ht="30" customHeight="1">
      <c r="B45" s="37">
        <v>34</v>
      </c>
      <c r="C45" s="120" t="s">
        <v>257</v>
      </c>
      <c r="D45" s="121"/>
      <c r="E45" s="121"/>
      <c r="F45" s="121"/>
      <c r="G45" s="121"/>
      <c r="H45" s="121"/>
      <c r="I45" s="121"/>
      <c r="J45" s="121"/>
      <c r="K45" s="122"/>
      <c r="L45" s="42"/>
      <c r="M45" s="39" t="s">
        <v>45</v>
      </c>
      <c r="N45" s="39"/>
      <c r="O45" s="39"/>
      <c r="P45" s="39"/>
      <c r="R45" s="43"/>
    </row>
    <row r="46" spans="2:18" ht="30" customHeight="1">
      <c r="B46" s="31">
        <v>35</v>
      </c>
      <c r="C46" s="120" t="s">
        <v>258</v>
      </c>
      <c r="D46" s="121"/>
      <c r="E46" s="121"/>
      <c r="F46" s="121"/>
      <c r="G46" s="121"/>
      <c r="H46" s="121"/>
      <c r="I46" s="121"/>
      <c r="J46" s="121"/>
      <c r="K46" s="122"/>
      <c r="L46" s="42"/>
      <c r="M46" s="39" t="s">
        <v>45</v>
      </c>
      <c r="N46" s="39"/>
      <c r="O46" s="39"/>
      <c r="P46" s="39"/>
    </row>
    <row r="47" spans="2:18" ht="30" customHeight="1">
      <c r="B47" s="37">
        <v>36</v>
      </c>
      <c r="C47" s="120" t="s">
        <v>259</v>
      </c>
      <c r="D47" s="121"/>
      <c r="E47" s="121"/>
      <c r="F47" s="121"/>
      <c r="G47" s="121"/>
      <c r="H47" s="121"/>
      <c r="I47" s="121"/>
      <c r="J47" s="121"/>
      <c r="K47" s="122"/>
      <c r="L47" s="42"/>
      <c r="M47" s="39" t="s">
        <v>45</v>
      </c>
      <c r="N47" s="39"/>
      <c r="O47" s="39"/>
      <c r="P47" s="39"/>
    </row>
    <row r="48" spans="2:18" ht="30" customHeight="1">
      <c r="B48" s="37">
        <v>37</v>
      </c>
      <c r="C48" s="120" t="s">
        <v>676</v>
      </c>
      <c r="D48" s="121"/>
      <c r="E48" s="121"/>
      <c r="F48" s="121"/>
      <c r="G48" s="121"/>
      <c r="H48" s="121"/>
      <c r="I48" s="121"/>
      <c r="J48" s="121"/>
      <c r="K48" s="122"/>
      <c r="L48" s="42"/>
      <c r="M48" s="39" t="s">
        <v>45</v>
      </c>
      <c r="N48" s="39"/>
      <c r="O48" s="39"/>
      <c r="P48" s="39"/>
      <c r="R48" s="43"/>
    </row>
    <row r="49" spans="2:18" ht="30" customHeight="1">
      <c r="B49" s="31">
        <v>38</v>
      </c>
      <c r="C49" s="120" t="s">
        <v>260</v>
      </c>
      <c r="D49" s="121"/>
      <c r="E49" s="121"/>
      <c r="F49" s="121"/>
      <c r="G49" s="121"/>
      <c r="H49" s="121"/>
      <c r="I49" s="121"/>
      <c r="J49" s="121"/>
      <c r="K49" s="122"/>
      <c r="L49" s="42"/>
      <c r="M49" s="39" t="s">
        <v>45</v>
      </c>
      <c r="N49" s="39"/>
      <c r="O49" s="39"/>
      <c r="P49" s="39"/>
      <c r="R49" s="43"/>
    </row>
    <row r="50" spans="2:18" ht="30" customHeight="1">
      <c r="B50" s="37">
        <v>39</v>
      </c>
      <c r="C50" s="120" t="s">
        <v>677</v>
      </c>
      <c r="D50" s="121"/>
      <c r="E50" s="121"/>
      <c r="F50" s="121"/>
      <c r="G50" s="121"/>
      <c r="H50" s="121"/>
      <c r="I50" s="121"/>
      <c r="J50" s="121"/>
      <c r="K50" s="122"/>
      <c r="L50" s="42"/>
      <c r="M50" s="39" t="s">
        <v>45</v>
      </c>
      <c r="N50" s="39"/>
      <c r="O50" s="39"/>
      <c r="P50" s="39"/>
      <c r="R50" s="43"/>
    </row>
    <row r="51" spans="2:18" ht="30" customHeight="1">
      <c r="B51" s="37">
        <v>40</v>
      </c>
      <c r="C51" s="120" t="s">
        <v>261</v>
      </c>
      <c r="D51" s="121"/>
      <c r="E51" s="121"/>
      <c r="F51" s="121"/>
      <c r="G51" s="121"/>
      <c r="H51" s="121"/>
      <c r="I51" s="121"/>
      <c r="J51" s="121"/>
      <c r="K51" s="122"/>
      <c r="L51" s="42"/>
      <c r="M51" s="39" t="s">
        <v>45</v>
      </c>
      <c r="N51" s="39"/>
      <c r="O51" s="39"/>
      <c r="P51" s="39"/>
    </row>
    <row r="52" spans="2:18" ht="30" customHeight="1">
      <c r="B52" s="31">
        <v>41</v>
      </c>
      <c r="C52" s="120" t="s">
        <v>262</v>
      </c>
      <c r="D52" s="121"/>
      <c r="E52" s="121"/>
      <c r="F52" s="121"/>
      <c r="G52" s="121"/>
      <c r="H52" s="121"/>
      <c r="I52" s="121"/>
      <c r="J52" s="121"/>
      <c r="K52" s="122"/>
      <c r="L52" s="42"/>
      <c r="M52" s="39" t="s">
        <v>45</v>
      </c>
      <c r="N52" s="39"/>
      <c r="O52" s="39"/>
      <c r="P52" s="39"/>
    </row>
    <row r="53" spans="2:18" ht="30" customHeight="1">
      <c r="B53" s="37">
        <v>42</v>
      </c>
      <c r="C53" s="120" t="s">
        <v>263</v>
      </c>
      <c r="D53" s="121"/>
      <c r="E53" s="121"/>
      <c r="F53" s="121"/>
      <c r="G53" s="121"/>
      <c r="H53" s="121"/>
      <c r="I53" s="121"/>
      <c r="J53" s="121"/>
      <c r="K53" s="122"/>
      <c r="L53" s="42"/>
      <c r="M53" s="39"/>
      <c r="N53" s="39" t="s">
        <v>45</v>
      </c>
      <c r="O53" s="39"/>
      <c r="P53" s="39"/>
    </row>
    <row r="54" spans="2:18" ht="30" customHeight="1">
      <c r="B54" s="37">
        <v>43</v>
      </c>
      <c r="C54" s="120" t="s">
        <v>264</v>
      </c>
      <c r="D54" s="121"/>
      <c r="E54" s="121"/>
      <c r="F54" s="121"/>
      <c r="G54" s="121"/>
      <c r="H54" s="121"/>
      <c r="I54" s="121"/>
      <c r="J54" s="121"/>
      <c r="K54" s="122"/>
      <c r="L54" s="42"/>
      <c r="M54" s="39" t="s">
        <v>45</v>
      </c>
      <c r="N54" s="39"/>
      <c r="O54" s="39"/>
      <c r="P54" s="39"/>
    </row>
    <row r="55" spans="2:18" ht="30" customHeight="1">
      <c r="B55" s="31">
        <v>44</v>
      </c>
      <c r="C55" s="120" t="s">
        <v>265</v>
      </c>
      <c r="D55" s="121"/>
      <c r="E55" s="121"/>
      <c r="F55" s="121"/>
      <c r="G55" s="121"/>
      <c r="H55" s="121"/>
      <c r="I55" s="121"/>
      <c r="J55" s="121"/>
      <c r="K55" s="122"/>
      <c r="L55" s="42"/>
      <c r="M55" s="39" t="s">
        <v>45</v>
      </c>
      <c r="N55" s="39"/>
      <c r="O55" s="39"/>
      <c r="P55" s="39"/>
    </row>
    <row r="56" spans="2:18" ht="30" customHeight="1">
      <c r="B56" s="37">
        <v>45</v>
      </c>
      <c r="C56" s="120" t="s">
        <v>266</v>
      </c>
      <c r="D56" s="121"/>
      <c r="E56" s="121"/>
      <c r="F56" s="121"/>
      <c r="G56" s="121"/>
      <c r="H56" s="121"/>
      <c r="I56" s="121"/>
      <c r="J56" s="121"/>
      <c r="K56" s="122"/>
      <c r="L56" s="42"/>
      <c r="M56" s="39" t="s">
        <v>45</v>
      </c>
      <c r="N56" s="39"/>
      <c r="O56" s="39"/>
      <c r="P56" s="39"/>
    </row>
    <row r="57" spans="2:18" ht="30" customHeight="1">
      <c r="B57" s="37">
        <v>46</v>
      </c>
      <c r="C57" s="120" t="s">
        <v>267</v>
      </c>
      <c r="D57" s="121"/>
      <c r="E57" s="121"/>
      <c r="F57" s="121"/>
      <c r="G57" s="121"/>
      <c r="H57" s="121"/>
      <c r="I57" s="121"/>
      <c r="J57" s="121"/>
      <c r="K57" s="122"/>
      <c r="L57" s="42"/>
      <c r="M57" s="39" t="s">
        <v>45</v>
      </c>
      <c r="N57" s="39"/>
      <c r="O57" s="39"/>
      <c r="P57" s="39"/>
    </row>
    <row r="58" spans="2:18" ht="30" customHeight="1">
      <c r="B58" s="31">
        <v>47</v>
      </c>
      <c r="C58" s="120" t="s">
        <v>268</v>
      </c>
      <c r="D58" s="121"/>
      <c r="E58" s="121"/>
      <c r="F58" s="121"/>
      <c r="G58" s="121"/>
      <c r="H58" s="121"/>
      <c r="I58" s="121"/>
      <c r="J58" s="121"/>
      <c r="K58" s="122"/>
      <c r="L58" s="42"/>
      <c r="M58" s="75"/>
      <c r="N58" s="75" t="s">
        <v>45</v>
      </c>
      <c r="O58" s="39"/>
      <c r="P58" s="39"/>
      <c r="R58" s="73" t="s">
        <v>799</v>
      </c>
    </row>
    <row r="59" spans="2:18" ht="30" customHeight="1">
      <c r="B59" s="37">
        <v>48</v>
      </c>
      <c r="C59" s="120" t="s">
        <v>269</v>
      </c>
      <c r="D59" s="121"/>
      <c r="E59" s="121"/>
      <c r="F59" s="121"/>
      <c r="G59" s="121"/>
      <c r="H59" s="121"/>
      <c r="I59" s="121"/>
      <c r="J59" s="121"/>
      <c r="K59" s="122"/>
      <c r="L59" s="42"/>
      <c r="M59" s="39" t="s">
        <v>45</v>
      </c>
      <c r="N59" s="39"/>
      <c r="O59" s="39"/>
      <c r="P59" s="39"/>
    </row>
    <row r="60" spans="2:18" ht="30" customHeight="1">
      <c r="B60" s="37">
        <v>49</v>
      </c>
      <c r="C60" s="120" t="s">
        <v>270</v>
      </c>
      <c r="D60" s="121"/>
      <c r="E60" s="121"/>
      <c r="F60" s="121"/>
      <c r="G60" s="121"/>
      <c r="H60" s="121"/>
      <c r="I60" s="121"/>
      <c r="J60" s="121"/>
      <c r="K60" s="122"/>
      <c r="L60" s="42"/>
      <c r="M60" s="39"/>
      <c r="N60" s="39" t="s">
        <v>45</v>
      </c>
      <c r="O60" s="39"/>
      <c r="P60" s="39"/>
    </row>
    <row r="61" spans="2:18" ht="30" customHeight="1">
      <c r="B61" s="31">
        <v>50</v>
      </c>
      <c r="C61" s="120" t="s">
        <v>271</v>
      </c>
      <c r="D61" s="121"/>
      <c r="E61" s="121"/>
      <c r="F61" s="121"/>
      <c r="G61" s="121"/>
      <c r="H61" s="121"/>
      <c r="I61" s="121"/>
      <c r="J61" s="121"/>
      <c r="K61" s="122"/>
      <c r="L61" s="42"/>
      <c r="M61" s="39" t="s">
        <v>45</v>
      </c>
      <c r="N61" s="39"/>
      <c r="O61" s="39"/>
      <c r="P61" s="39"/>
    </row>
    <row r="62" spans="2:18" ht="30" customHeight="1">
      <c r="B62" s="31"/>
      <c r="C62" s="120"/>
      <c r="D62" s="121"/>
      <c r="E62" s="121"/>
      <c r="F62" s="121"/>
      <c r="G62" s="121"/>
      <c r="H62" s="121"/>
      <c r="I62" s="121"/>
      <c r="J62" s="121"/>
      <c r="K62" s="122"/>
      <c r="L62" s="42"/>
      <c r="M62" s="39"/>
      <c r="N62" s="39"/>
      <c r="O62" s="39"/>
      <c r="P62" s="39"/>
    </row>
    <row r="63" spans="2:18" ht="30" customHeight="1">
      <c r="B63" s="37"/>
      <c r="C63" s="120"/>
      <c r="D63" s="121"/>
      <c r="E63" s="121"/>
      <c r="F63" s="121"/>
      <c r="G63" s="121"/>
      <c r="H63" s="121"/>
      <c r="I63" s="121"/>
      <c r="J63" s="121"/>
      <c r="K63" s="122"/>
      <c r="L63" s="42"/>
      <c r="M63" s="39"/>
      <c r="N63" s="39"/>
      <c r="O63" s="39"/>
      <c r="P63" s="39"/>
    </row>
    <row r="64" spans="2:18" ht="30" customHeight="1">
      <c r="B64" s="37"/>
      <c r="C64" s="120"/>
      <c r="D64" s="121"/>
      <c r="E64" s="121"/>
      <c r="F64" s="121"/>
      <c r="G64" s="121"/>
      <c r="H64" s="121"/>
      <c r="I64" s="121"/>
      <c r="J64" s="121"/>
      <c r="K64" s="122"/>
      <c r="L64" s="42"/>
      <c r="M64" s="39"/>
      <c r="N64" s="39"/>
      <c r="O64" s="39"/>
      <c r="P64" s="39"/>
    </row>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sheetData>
  <mergeCells count="61">
    <mergeCell ref="C30:K30"/>
    <mergeCell ref="C32:K32"/>
    <mergeCell ref="C33:K33"/>
    <mergeCell ref="C34:K34"/>
    <mergeCell ref="C60:K60"/>
    <mergeCell ref="C61:K61"/>
    <mergeCell ref="C62:K62"/>
    <mergeCell ref="C63:K63"/>
    <mergeCell ref="C64:K64"/>
    <mergeCell ref="C2:G2"/>
    <mergeCell ref="C3:G3"/>
    <mergeCell ref="C4:G4"/>
    <mergeCell ref="B5:C5"/>
    <mergeCell ref="M8:O8"/>
    <mergeCell ref="P8:P9"/>
    <mergeCell ref="C9:J9"/>
    <mergeCell ref="C11:E11"/>
    <mergeCell ref="C12:K12"/>
    <mergeCell ref="C13:K13"/>
    <mergeCell ref="C14:K14"/>
    <mergeCell ref="C15:K15"/>
    <mergeCell ref="C17:K17"/>
    <mergeCell ref="C18:K18"/>
    <mergeCell ref="C19:K19"/>
    <mergeCell ref="C20:K20"/>
    <mergeCell ref="C21:K21"/>
    <mergeCell ref="C22:K22"/>
    <mergeCell ref="C23:K23"/>
    <mergeCell ref="C24:K24"/>
    <mergeCell ref="C31:K31"/>
    <mergeCell ref="C35:K35"/>
    <mergeCell ref="C36:K36"/>
    <mergeCell ref="C37:K37"/>
    <mergeCell ref="C25:K25"/>
    <mergeCell ref="C26:K26"/>
    <mergeCell ref="C27:K27"/>
    <mergeCell ref="C28:K28"/>
    <mergeCell ref="C29:K29"/>
    <mergeCell ref="C58:K58"/>
    <mergeCell ref="C59:K59"/>
    <mergeCell ref="C51:K51"/>
    <mergeCell ref="C52:K52"/>
    <mergeCell ref="C53:K53"/>
    <mergeCell ref="C54:K54"/>
    <mergeCell ref="C55:K55"/>
    <mergeCell ref="C49:K49"/>
    <mergeCell ref="C50:K50"/>
    <mergeCell ref="C16:K16"/>
    <mergeCell ref="C56:K56"/>
    <mergeCell ref="C57:K57"/>
    <mergeCell ref="C45:K45"/>
    <mergeCell ref="C46:K46"/>
    <mergeCell ref="C47:K47"/>
    <mergeCell ref="C48:K48"/>
    <mergeCell ref="C38:K38"/>
    <mergeCell ref="C39:K39"/>
    <mergeCell ref="C40:K40"/>
    <mergeCell ref="C41:K41"/>
    <mergeCell ref="C44:K44"/>
    <mergeCell ref="C42:K42"/>
    <mergeCell ref="C43:K43"/>
  </mergeCells>
  <hyperlinks>
    <hyperlink ref="V2" location="'REQ. FUN. GEN'!A1" display="Volver" xr:uid="{00000000-0004-0000-0E00-000000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V1001"/>
  <sheetViews>
    <sheetView topLeftCell="A44" workbookViewId="0">
      <selection activeCell="C59" sqref="C59:K59"/>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26" t="s">
        <v>31</v>
      </c>
      <c r="C2" s="135" t="s">
        <v>32</v>
      </c>
      <c r="D2" s="136"/>
      <c r="E2" s="136"/>
      <c r="F2" s="136"/>
      <c r="G2" s="136"/>
      <c r="V2" s="52"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c r="S8" s="49"/>
    </row>
    <row r="9" spans="2:22" ht="14.25" customHeight="1">
      <c r="B9" s="31"/>
      <c r="C9" s="32"/>
      <c r="D9" s="129" t="s">
        <v>272</v>
      </c>
      <c r="E9" s="130"/>
      <c r="F9" s="130"/>
      <c r="G9" s="130"/>
      <c r="H9" s="130"/>
      <c r="I9" s="131"/>
      <c r="J9" s="32"/>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6" t="s">
        <v>1059</v>
      </c>
      <c r="D12" s="121"/>
      <c r="E12" s="121"/>
      <c r="F12" s="121"/>
      <c r="G12" s="121"/>
      <c r="H12" s="121"/>
      <c r="I12" s="121"/>
      <c r="J12" s="121"/>
      <c r="K12" s="122"/>
      <c r="L12" s="40"/>
      <c r="M12" s="75" t="s">
        <v>45</v>
      </c>
      <c r="N12" s="39"/>
      <c r="O12" s="39"/>
      <c r="P12" s="39"/>
    </row>
    <row r="13" spans="2:22" ht="30" customHeight="1">
      <c r="B13" s="31">
        <v>2</v>
      </c>
      <c r="C13" s="126" t="s">
        <v>1060</v>
      </c>
      <c r="D13" s="121"/>
      <c r="E13" s="121"/>
      <c r="F13" s="121"/>
      <c r="G13" s="121"/>
      <c r="H13" s="121"/>
      <c r="I13" s="121"/>
      <c r="J13" s="121"/>
      <c r="K13" s="122"/>
      <c r="M13" s="75" t="s">
        <v>45</v>
      </c>
      <c r="N13" s="39"/>
      <c r="O13" s="39"/>
      <c r="P13" s="39"/>
    </row>
    <row r="14" spans="2:22" ht="30" customHeight="1">
      <c r="B14" s="37">
        <v>3</v>
      </c>
      <c r="C14" s="126" t="s">
        <v>1061</v>
      </c>
      <c r="D14" s="121"/>
      <c r="E14" s="121"/>
      <c r="F14" s="121"/>
      <c r="G14" s="121"/>
      <c r="H14" s="121"/>
      <c r="I14" s="121"/>
      <c r="J14" s="121"/>
      <c r="K14" s="122"/>
      <c r="M14" s="75" t="s">
        <v>45</v>
      </c>
      <c r="N14" s="39"/>
      <c r="O14" s="39"/>
      <c r="P14" s="39"/>
    </row>
    <row r="15" spans="2:22" ht="30" customHeight="1">
      <c r="B15" s="37">
        <v>4</v>
      </c>
      <c r="C15" s="126" t="s">
        <v>1062</v>
      </c>
      <c r="D15" s="121"/>
      <c r="E15" s="121"/>
      <c r="F15" s="121"/>
      <c r="G15" s="121"/>
      <c r="H15" s="121"/>
      <c r="I15" s="121"/>
      <c r="J15" s="121"/>
      <c r="K15" s="122"/>
      <c r="L15" s="38"/>
      <c r="M15" s="75" t="s">
        <v>45</v>
      </c>
      <c r="N15" s="39"/>
      <c r="O15" s="39"/>
      <c r="P15" s="39"/>
    </row>
    <row r="16" spans="2:22" ht="30" customHeight="1">
      <c r="B16" s="31">
        <v>5</v>
      </c>
      <c r="C16" s="126" t="s">
        <v>1063</v>
      </c>
      <c r="D16" s="121"/>
      <c r="E16" s="121"/>
      <c r="F16" s="121"/>
      <c r="G16" s="121"/>
      <c r="H16" s="121"/>
      <c r="I16" s="121"/>
      <c r="J16" s="121"/>
      <c r="K16" s="122"/>
      <c r="L16" s="42"/>
      <c r="M16" s="75" t="s">
        <v>45</v>
      </c>
      <c r="N16" s="39"/>
      <c r="O16" s="39"/>
      <c r="P16" s="39"/>
    </row>
    <row r="17" spans="2:18" ht="30" customHeight="1">
      <c r="B17" s="37">
        <v>6</v>
      </c>
      <c r="C17" s="126" t="s">
        <v>1064</v>
      </c>
      <c r="D17" s="121"/>
      <c r="E17" s="121"/>
      <c r="F17" s="121"/>
      <c r="G17" s="121"/>
      <c r="H17" s="121"/>
      <c r="I17" s="121"/>
      <c r="J17" s="121"/>
      <c r="K17" s="122"/>
      <c r="L17" s="42"/>
      <c r="M17" s="75" t="s">
        <v>45</v>
      </c>
      <c r="N17" s="39"/>
      <c r="O17" s="39"/>
      <c r="P17" s="39"/>
    </row>
    <row r="18" spans="2:18" ht="30" customHeight="1">
      <c r="B18" s="37">
        <v>7</v>
      </c>
      <c r="C18" s="126" t="s">
        <v>1065</v>
      </c>
      <c r="D18" s="121"/>
      <c r="E18" s="121"/>
      <c r="F18" s="121"/>
      <c r="G18" s="121"/>
      <c r="H18" s="121"/>
      <c r="I18" s="121"/>
      <c r="J18" s="121"/>
      <c r="K18" s="122"/>
      <c r="L18" s="42"/>
      <c r="M18" s="75" t="s">
        <v>45</v>
      </c>
      <c r="N18" s="39"/>
      <c r="O18" s="39"/>
      <c r="P18" s="39"/>
    </row>
    <row r="19" spans="2:18" ht="30" customHeight="1">
      <c r="B19" s="31">
        <v>8</v>
      </c>
      <c r="C19" s="126" t="s">
        <v>1066</v>
      </c>
      <c r="D19" s="121"/>
      <c r="E19" s="121"/>
      <c r="F19" s="121"/>
      <c r="G19" s="121"/>
      <c r="H19" s="121"/>
      <c r="I19" s="121"/>
      <c r="J19" s="121"/>
      <c r="K19" s="122"/>
      <c r="L19" s="42"/>
      <c r="M19" s="75" t="s">
        <v>45</v>
      </c>
      <c r="N19" s="39"/>
      <c r="O19" s="39"/>
      <c r="P19" s="39"/>
    </row>
    <row r="20" spans="2:18" ht="30" customHeight="1">
      <c r="B20" s="37">
        <v>9</v>
      </c>
      <c r="C20" s="179" t="s">
        <v>1067</v>
      </c>
      <c r="D20" s="121"/>
      <c r="E20" s="121"/>
      <c r="F20" s="121"/>
      <c r="G20" s="121"/>
      <c r="H20" s="121"/>
      <c r="I20" s="121"/>
      <c r="J20" s="121"/>
      <c r="K20" s="122"/>
      <c r="L20" s="42"/>
      <c r="M20" s="75" t="s">
        <v>45</v>
      </c>
      <c r="N20" s="39"/>
      <c r="O20" s="39"/>
      <c r="P20" s="39"/>
    </row>
    <row r="21" spans="2:18" ht="30" customHeight="1">
      <c r="B21" s="37">
        <v>10</v>
      </c>
      <c r="C21" s="126" t="s">
        <v>1068</v>
      </c>
      <c r="D21" s="121"/>
      <c r="E21" s="121"/>
      <c r="F21" s="121"/>
      <c r="G21" s="121"/>
      <c r="H21" s="121"/>
      <c r="I21" s="121"/>
      <c r="J21" s="121"/>
      <c r="K21" s="122"/>
      <c r="L21" s="42"/>
      <c r="M21" s="75" t="s">
        <v>45</v>
      </c>
      <c r="N21" s="39"/>
      <c r="O21" s="39"/>
      <c r="P21" s="39"/>
    </row>
    <row r="22" spans="2:18" ht="30" customHeight="1">
      <c r="B22" s="31">
        <v>11</v>
      </c>
      <c r="C22" s="126" t="s">
        <v>1069</v>
      </c>
      <c r="D22" s="121"/>
      <c r="E22" s="121"/>
      <c r="F22" s="121"/>
      <c r="G22" s="121"/>
      <c r="H22" s="121"/>
      <c r="I22" s="121"/>
      <c r="J22" s="121"/>
      <c r="K22" s="122"/>
      <c r="L22" s="42"/>
      <c r="M22" s="75" t="s">
        <v>45</v>
      </c>
      <c r="N22" s="39"/>
      <c r="O22" s="39"/>
      <c r="P22" s="39"/>
      <c r="R22" s="49"/>
    </row>
    <row r="23" spans="2:18" ht="30" customHeight="1">
      <c r="B23" s="37">
        <v>12</v>
      </c>
      <c r="C23" s="126" t="s">
        <v>1070</v>
      </c>
      <c r="D23" s="121"/>
      <c r="E23" s="121"/>
      <c r="F23" s="121"/>
      <c r="G23" s="121"/>
      <c r="H23" s="121"/>
      <c r="I23" s="121"/>
      <c r="J23" s="121"/>
      <c r="K23" s="122"/>
      <c r="L23" s="42"/>
      <c r="M23" s="75" t="s">
        <v>45</v>
      </c>
      <c r="N23" s="39"/>
      <c r="O23" s="39"/>
      <c r="P23" s="39"/>
    </row>
    <row r="24" spans="2:18" ht="30" customHeight="1">
      <c r="B24" s="37">
        <v>13</v>
      </c>
      <c r="C24" s="126" t="s">
        <v>1071</v>
      </c>
      <c r="D24" s="121"/>
      <c r="E24" s="121"/>
      <c r="F24" s="121"/>
      <c r="G24" s="121"/>
      <c r="H24" s="121"/>
      <c r="I24" s="121"/>
      <c r="J24" s="121"/>
      <c r="K24" s="122"/>
      <c r="L24" s="42"/>
      <c r="M24" s="75" t="s">
        <v>45</v>
      </c>
      <c r="N24" s="39"/>
      <c r="O24" s="39"/>
      <c r="P24" s="39"/>
    </row>
    <row r="25" spans="2:18" ht="30" customHeight="1">
      <c r="B25" s="31">
        <v>14</v>
      </c>
      <c r="C25" s="126" t="s">
        <v>1072</v>
      </c>
      <c r="D25" s="121"/>
      <c r="E25" s="121"/>
      <c r="F25" s="121"/>
      <c r="G25" s="121"/>
      <c r="H25" s="121"/>
      <c r="I25" s="121"/>
      <c r="J25" s="121"/>
      <c r="K25" s="122"/>
      <c r="L25" s="42"/>
      <c r="M25" s="75" t="s">
        <v>45</v>
      </c>
      <c r="N25" s="39"/>
      <c r="O25" s="39"/>
      <c r="P25" s="39"/>
    </row>
    <row r="26" spans="2:18" ht="30" customHeight="1">
      <c r="B26" s="37">
        <v>15</v>
      </c>
      <c r="C26" s="126" t="s">
        <v>1073</v>
      </c>
      <c r="D26" s="121"/>
      <c r="E26" s="121"/>
      <c r="F26" s="121"/>
      <c r="G26" s="121"/>
      <c r="H26" s="121"/>
      <c r="I26" s="121"/>
      <c r="J26" s="121"/>
      <c r="K26" s="122"/>
      <c r="L26" s="42"/>
      <c r="M26" s="75" t="s">
        <v>45</v>
      </c>
      <c r="N26" s="39"/>
      <c r="O26" s="39"/>
      <c r="P26" s="39"/>
    </row>
    <row r="27" spans="2:18" ht="30" customHeight="1">
      <c r="B27" s="37">
        <v>16</v>
      </c>
      <c r="C27" s="126" t="s">
        <v>1074</v>
      </c>
      <c r="D27" s="121"/>
      <c r="E27" s="121"/>
      <c r="F27" s="121"/>
      <c r="G27" s="121"/>
      <c r="H27" s="121"/>
      <c r="I27" s="121"/>
      <c r="J27" s="121"/>
      <c r="K27" s="122"/>
      <c r="L27" s="42"/>
      <c r="M27" s="75" t="s">
        <v>45</v>
      </c>
      <c r="N27" s="39"/>
      <c r="O27" s="39"/>
      <c r="P27" s="39"/>
    </row>
    <row r="28" spans="2:18" ht="30" customHeight="1">
      <c r="B28" s="31">
        <v>17</v>
      </c>
      <c r="C28" s="126" t="s">
        <v>1075</v>
      </c>
      <c r="D28" s="121"/>
      <c r="E28" s="121"/>
      <c r="F28" s="121"/>
      <c r="G28" s="121"/>
      <c r="H28" s="121"/>
      <c r="I28" s="121"/>
      <c r="J28" s="121"/>
      <c r="K28" s="122"/>
      <c r="L28" s="42"/>
      <c r="M28" s="75" t="s">
        <v>45</v>
      </c>
      <c r="N28" s="39"/>
      <c r="O28" s="39"/>
      <c r="P28" s="39"/>
    </row>
    <row r="29" spans="2:18" ht="30" customHeight="1">
      <c r="B29" s="37">
        <v>18</v>
      </c>
      <c r="C29" s="126" t="s">
        <v>1076</v>
      </c>
      <c r="D29" s="121"/>
      <c r="E29" s="121"/>
      <c r="F29" s="121"/>
      <c r="G29" s="121"/>
      <c r="H29" s="121"/>
      <c r="I29" s="121"/>
      <c r="J29" s="121"/>
      <c r="K29" s="122"/>
      <c r="L29" s="42"/>
      <c r="M29" s="75" t="s">
        <v>45</v>
      </c>
      <c r="N29" s="39"/>
      <c r="O29" s="39"/>
      <c r="P29" s="39"/>
    </row>
    <row r="30" spans="2:18" ht="30" customHeight="1">
      <c r="B30" s="37">
        <v>19</v>
      </c>
      <c r="C30" s="126" t="s">
        <v>1077</v>
      </c>
      <c r="D30" s="121"/>
      <c r="E30" s="121"/>
      <c r="F30" s="121"/>
      <c r="G30" s="121"/>
      <c r="H30" s="121"/>
      <c r="I30" s="121"/>
      <c r="J30" s="121"/>
      <c r="K30" s="122"/>
      <c r="L30" s="42"/>
      <c r="M30" s="75" t="s">
        <v>45</v>
      </c>
      <c r="N30" s="39"/>
      <c r="O30" s="39"/>
      <c r="P30" s="39"/>
    </row>
    <row r="31" spans="2:18" ht="30" customHeight="1">
      <c r="B31" s="31">
        <v>20</v>
      </c>
      <c r="C31" s="126" t="s">
        <v>1078</v>
      </c>
      <c r="D31" s="121"/>
      <c r="E31" s="121"/>
      <c r="F31" s="121"/>
      <c r="G31" s="121"/>
      <c r="H31" s="121"/>
      <c r="I31" s="121"/>
      <c r="J31" s="121"/>
      <c r="K31" s="122"/>
      <c r="L31" s="42"/>
      <c r="M31" s="75" t="s">
        <v>45</v>
      </c>
      <c r="N31" s="39"/>
      <c r="O31" s="39"/>
      <c r="P31" s="39"/>
    </row>
    <row r="32" spans="2:18" ht="30" customHeight="1">
      <c r="B32" s="37">
        <v>21</v>
      </c>
      <c r="C32" s="126" t="s">
        <v>1079</v>
      </c>
      <c r="D32" s="121"/>
      <c r="E32" s="121"/>
      <c r="F32" s="121"/>
      <c r="G32" s="121"/>
      <c r="H32" s="121"/>
      <c r="I32" s="121"/>
      <c r="J32" s="121"/>
      <c r="K32" s="122"/>
      <c r="L32" s="42"/>
      <c r="M32" s="75" t="s">
        <v>45</v>
      </c>
      <c r="N32" s="39"/>
      <c r="O32" s="39"/>
      <c r="P32" s="39"/>
    </row>
    <row r="33" spans="2:16" ht="30" customHeight="1">
      <c r="B33" s="37">
        <v>22</v>
      </c>
      <c r="C33" s="126" t="s">
        <v>1080</v>
      </c>
      <c r="D33" s="121"/>
      <c r="E33" s="121"/>
      <c r="F33" s="121"/>
      <c r="G33" s="121"/>
      <c r="H33" s="121"/>
      <c r="I33" s="121"/>
      <c r="J33" s="121"/>
      <c r="K33" s="122"/>
      <c r="L33" s="42"/>
      <c r="M33" s="75" t="s">
        <v>45</v>
      </c>
      <c r="N33" s="39"/>
      <c r="O33" s="39"/>
      <c r="P33" s="39"/>
    </row>
    <row r="34" spans="2:16" ht="30" customHeight="1">
      <c r="B34" s="31">
        <v>23</v>
      </c>
      <c r="C34" s="126" t="s">
        <v>1081</v>
      </c>
      <c r="D34" s="121"/>
      <c r="E34" s="121"/>
      <c r="F34" s="121"/>
      <c r="G34" s="121"/>
      <c r="H34" s="121"/>
      <c r="I34" s="121"/>
      <c r="J34" s="121"/>
      <c r="K34" s="122"/>
      <c r="L34" s="42"/>
      <c r="M34" s="75" t="s">
        <v>45</v>
      </c>
      <c r="N34" s="39"/>
      <c r="O34" s="39"/>
      <c r="P34" s="39"/>
    </row>
    <row r="35" spans="2:16" ht="30" customHeight="1">
      <c r="B35" s="37">
        <v>24</v>
      </c>
      <c r="C35" s="126" t="s">
        <v>1082</v>
      </c>
      <c r="D35" s="121"/>
      <c r="E35" s="121"/>
      <c r="F35" s="121"/>
      <c r="G35" s="121"/>
      <c r="H35" s="121"/>
      <c r="I35" s="121"/>
      <c r="J35" s="121"/>
      <c r="K35" s="122"/>
      <c r="L35" s="42"/>
      <c r="M35" s="75" t="s">
        <v>45</v>
      </c>
      <c r="N35" s="39"/>
      <c r="O35" s="39"/>
      <c r="P35" s="39"/>
    </row>
    <row r="36" spans="2:16" ht="30" customHeight="1">
      <c r="B36" s="37">
        <v>25</v>
      </c>
      <c r="C36" s="126" t="s">
        <v>1083</v>
      </c>
      <c r="D36" s="121"/>
      <c r="E36" s="121"/>
      <c r="F36" s="121"/>
      <c r="G36" s="121"/>
      <c r="H36" s="121"/>
      <c r="I36" s="121"/>
      <c r="J36" s="121"/>
      <c r="K36" s="122"/>
      <c r="L36" s="42"/>
      <c r="M36" s="75" t="s">
        <v>45</v>
      </c>
      <c r="N36" s="39"/>
      <c r="O36" s="39"/>
      <c r="P36" s="39"/>
    </row>
    <row r="37" spans="2:16" ht="30" customHeight="1">
      <c r="B37" s="31">
        <v>26</v>
      </c>
      <c r="C37" s="126" t="s">
        <v>1084</v>
      </c>
      <c r="D37" s="121"/>
      <c r="E37" s="121"/>
      <c r="F37" s="121"/>
      <c r="G37" s="121"/>
      <c r="H37" s="121"/>
      <c r="I37" s="121"/>
      <c r="J37" s="121"/>
      <c r="K37" s="122"/>
      <c r="L37" s="42"/>
      <c r="M37" s="75" t="s">
        <v>45</v>
      </c>
      <c r="N37" s="39"/>
      <c r="O37" s="39"/>
      <c r="P37" s="39"/>
    </row>
    <row r="38" spans="2:16" ht="30" customHeight="1">
      <c r="B38" s="37">
        <v>27</v>
      </c>
      <c r="C38" s="126" t="s">
        <v>1085</v>
      </c>
      <c r="D38" s="121"/>
      <c r="E38" s="121"/>
      <c r="F38" s="121"/>
      <c r="G38" s="121"/>
      <c r="H38" s="121"/>
      <c r="I38" s="121"/>
      <c r="J38" s="121"/>
      <c r="K38" s="122"/>
      <c r="L38" s="42"/>
      <c r="M38" s="75" t="s">
        <v>45</v>
      </c>
      <c r="N38" s="39"/>
      <c r="O38" s="39"/>
      <c r="P38" s="39"/>
    </row>
    <row r="39" spans="2:16" ht="30" customHeight="1">
      <c r="B39" s="37">
        <v>28</v>
      </c>
      <c r="C39" s="126" t="s">
        <v>1086</v>
      </c>
      <c r="D39" s="121"/>
      <c r="E39" s="121"/>
      <c r="F39" s="121"/>
      <c r="G39" s="121"/>
      <c r="H39" s="121"/>
      <c r="I39" s="121"/>
      <c r="J39" s="121"/>
      <c r="K39" s="122"/>
      <c r="L39" s="42"/>
      <c r="M39" s="75" t="s">
        <v>45</v>
      </c>
      <c r="N39" s="39"/>
      <c r="O39" s="39"/>
      <c r="P39" s="39"/>
    </row>
    <row r="40" spans="2:16" ht="30" customHeight="1">
      <c r="B40" s="31">
        <v>29</v>
      </c>
      <c r="C40" s="126" t="s">
        <v>1087</v>
      </c>
      <c r="D40" s="121"/>
      <c r="E40" s="121"/>
      <c r="F40" s="121"/>
      <c r="G40" s="121"/>
      <c r="H40" s="121"/>
      <c r="I40" s="121"/>
      <c r="J40" s="121"/>
      <c r="K40" s="122"/>
      <c r="L40" s="42"/>
      <c r="M40" s="75" t="s">
        <v>45</v>
      </c>
      <c r="N40" s="39"/>
      <c r="O40" s="39"/>
      <c r="P40" s="39"/>
    </row>
    <row r="41" spans="2:16" ht="30" customHeight="1">
      <c r="B41" s="37">
        <v>30</v>
      </c>
      <c r="C41" s="126" t="s">
        <v>1088</v>
      </c>
      <c r="D41" s="121"/>
      <c r="E41" s="121"/>
      <c r="F41" s="121"/>
      <c r="G41" s="121"/>
      <c r="H41" s="121"/>
      <c r="I41" s="121"/>
      <c r="J41" s="121"/>
      <c r="K41" s="122"/>
      <c r="L41" s="42"/>
      <c r="M41" s="75" t="s">
        <v>45</v>
      </c>
      <c r="N41" s="39"/>
      <c r="O41" s="39"/>
      <c r="P41" s="39"/>
    </row>
    <row r="42" spans="2:16" ht="30" customHeight="1">
      <c r="B42" s="37">
        <v>31</v>
      </c>
      <c r="C42" s="126" t="s">
        <v>1089</v>
      </c>
      <c r="D42" s="121"/>
      <c r="E42" s="121"/>
      <c r="F42" s="121"/>
      <c r="G42" s="121"/>
      <c r="H42" s="121"/>
      <c r="I42" s="121"/>
      <c r="J42" s="121"/>
      <c r="K42" s="122"/>
      <c r="L42" s="42"/>
      <c r="M42" s="75" t="s">
        <v>45</v>
      </c>
      <c r="N42" s="39"/>
      <c r="O42" s="39"/>
      <c r="P42" s="39"/>
    </row>
    <row r="43" spans="2:16" ht="30" customHeight="1">
      <c r="B43" s="31">
        <v>32</v>
      </c>
      <c r="C43" s="126" t="s">
        <v>1090</v>
      </c>
      <c r="D43" s="121"/>
      <c r="E43" s="121"/>
      <c r="F43" s="121"/>
      <c r="G43" s="121"/>
      <c r="H43" s="121"/>
      <c r="I43" s="121"/>
      <c r="J43" s="121"/>
      <c r="K43" s="122"/>
      <c r="L43" s="42"/>
      <c r="M43" s="75" t="s">
        <v>45</v>
      </c>
      <c r="N43" s="39"/>
      <c r="O43" s="39"/>
      <c r="P43" s="39"/>
    </row>
    <row r="44" spans="2:16" ht="30" customHeight="1">
      <c r="B44" s="37">
        <v>33</v>
      </c>
      <c r="C44" s="126" t="s">
        <v>1091</v>
      </c>
      <c r="D44" s="121"/>
      <c r="E44" s="121"/>
      <c r="F44" s="121"/>
      <c r="G44" s="121"/>
      <c r="H44" s="121"/>
      <c r="I44" s="121"/>
      <c r="J44" s="121"/>
      <c r="K44" s="122"/>
      <c r="L44" s="42"/>
      <c r="M44" s="75" t="s">
        <v>45</v>
      </c>
      <c r="N44" s="39"/>
      <c r="O44" s="39"/>
      <c r="P44" s="39"/>
    </row>
    <row r="45" spans="2:16" ht="30" customHeight="1">
      <c r="B45" s="37">
        <v>34</v>
      </c>
      <c r="C45" s="126" t="s">
        <v>1092</v>
      </c>
      <c r="D45" s="121"/>
      <c r="E45" s="121"/>
      <c r="F45" s="121"/>
      <c r="G45" s="121"/>
      <c r="H45" s="121"/>
      <c r="I45" s="121"/>
      <c r="J45" s="121"/>
      <c r="K45" s="122"/>
      <c r="L45" s="42"/>
      <c r="M45" s="75" t="s">
        <v>45</v>
      </c>
      <c r="N45" s="39"/>
      <c r="O45" s="39"/>
      <c r="P45" s="39"/>
    </row>
    <row r="46" spans="2:16" ht="30" customHeight="1">
      <c r="B46" s="31">
        <v>35</v>
      </c>
      <c r="C46" s="126" t="s">
        <v>1093</v>
      </c>
      <c r="D46" s="121"/>
      <c r="E46" s="121"/>
      <c r="F46" s="121"/>
      <c r="G46" s="121"/>
      <c r="H46" s="121"/>
      <c r="I46" s="121"/>
      <c r="J46" s="121"/>
      <c r="K46" s="122"/>
      <c r="L46" s="42"/>
      <c r="M46" s="75" t="s">
        <v>45</v>
      </c>
      <c r="N46" s="39"/>
      <c r="O46" s="39"/>
      <c r="P46" s="39"/>
    </row>
    <row r="47" spans="2:16" ht="30" customHeight="1">
      <c r="B47" s="37">
        <v>36</v>
      </c>
      <c r="C47" s="126" t="s">
        <v>1094</v>
      </c>
      <c r="D47" s="121"/>
      <c r="E47" s="121"/>
      <c r="F47" s="121"/>
      <c r="G47" s="121"/>
      <c r="H47" s="121"/>
      <c r="I47" s="121"/>
      <c r="J47" s="121"/>
      <c r="K47" s="122"/>
      <c r="L47" s="42"/>
      <c r="M47" s="75" t="s">
        <v>45</v>
      </c>
      <c r="N47" s="39"/>
      <c r="O47" s="39"/>
      <c r="P47" s="39"/>
    </row>
    <row r="48" spans="2:16" ht="30" customHeight="1">
      <c r="B48" s="37">
        <v>37</v>
      </c>
      <c r="C48" s="126" t="s">
        <v>1095</v>
      </c>
      <c r="D48" s="121"/>
      <c r="E48" s="121"/>
      <c r="F48" s="121"/>
      <c r="G48" s="121"/>
      <c r="H48" s="121"/>
      <c r="I48" s="121"/>
      <c r="J48" s="121"/>
      <c r="K48" s="122"/>
      <c r="L48" s="42"/>
      <c r="M48" s="75" t="s">
        <v>45</v>
      </c>
      <c r="N48" s="39"/>
      <c r="O48" s="39"/>
      <c r="P48" s="39"/>
    </row>
    <row r="49" spans="2:16" ht="30" customHeight="1">
      <c r="B49" s="31">
        <v>38</v>
      </c>
      <c r="C49" s="126" t="s">
        <v>1096</v>
      </c>
      <c r="D49" s="121"/>
      <c r="E49" s="121"/>
      <c r="F49" s="121"/>
      <c r="G49" s="121"/>
      <c r="H49" s="121"/>
      <c r="I49" s="121"/>
      <c r="J49" s="121"/>
      <c r="K49" s="122"/>
      <c r="L49" s="42"/>
      <c r="M49" s="75" t="s">
        <v>45</v>
      </c>
      <c r="N49" s="39"/>
      <c r="O49" s="39"/>
      <c r="P49" s="39"/>
    </row>
    <row r="50" spans="2:16" ht="30" customHeight="1">
      <c r="B50" s="37">
        <v>39</v>
      </c>
      <c r="C50" s="126" t="s">
        <v>1097</v>
      </c>
      <c r="D50" s="121"/>
      <c r="E50" s="121"/>
      <c r="F50" s="121"/>
      <c r="G50" s="121"/>
      <c r="H50" s="121"/>
      <c r="I50" s="121"/>
      <c r="J50" s="121"/>
      <c r="K50" s="122"/>
      <c r="L50" s="42"/>
      <c r="M50" s="75" t="s">
        <v>45</v>
      </c>
      <c r="N50" s="39"/>
      <c r="O50" s="39"/>
      <c r="P50" s="39"/>
    </row>
    <row r="51" spans="2:16" ht="30" customHeight="1">
      <c r="B51" s="37">
        <v>40</v>
      </c>
      <c r="C51" s="126" t="s">
        <v>1098</v>
      </c>
      <c r="D51" s="121"/>
      <c r="E51" s="121"/>
      <c r="F51" s="121"/>
      <c r="G51" s="121"/>
      <c r="H51" s="121"/>
      <c r="I51" s="121"/>
      <c r="J51" s="121"/>
      <c r="K51" s="122"/>
      <c r="L51" s="42"/>
      <c r="M51" s="75" t="s">
        <v>45</v>
      </c>
      <c r="N51" s="39"/>
      <c r="O51" s="39"/>
      <c r="P51" s="39"/>
    </row>
    <row r="52" spans="2:16" ht="30" customHeight="1">
      <c r="B52" s="31">
        <v>41</v>
      </c>
      <c r="C52" s="126" t="s">
        <v>1099</v>
      </c>
      <c r="D52" s="121"/>
      <c r="E52" s="121"/>
      <c r="F52" s="121"/>
      <c r="G52" s="121"/>
      <c r="H52" s="121"/>
      <c r="I52" s="121"/>
      <c r="J52" s="121"/>
      <c r="K52" s="122"/>
      <c r="L52" s="42"/>
      <c r="M52" s="75" t="s">
        <v>45</v>
      </c>
      <c r="N52" s="39"/>
      <c r="O52" s="39"/>
      <c r="P52" s="39"/>
    </row>
    <row r="53" spans="2:16" ht="30" customHeight="1">
      <c r="B53" s="37">
        <v>42</v>
      </c>
      <c r="C53" s="126" t="s">
        <v>1100</v>
      </c>
      <c r="D53" s="121"/>
      <c r="E53" s="121"/>
      <c r="F53" s="121"/>
      <c r="G53" s="121"/>
      <c r="H53" s="121"/>
      <c r="I53" s="121"/>
      <c r="J53" s="121"/>
      <c r="K53" s="122"/>
      <c r="L53" s="42"/>
      <c r="M53" s="75" t="s">
        <v>45</v>
      </c>
      <c r="N53" s="39"/>
      <c r="O53" s="39"/>
      <c r="P53" s="39"/>
    </row>
    <row r="54" spans="2:16" ht="30" customHeight="1">
      <c r="B54" s="37">
        <v>43</v>
      </c>
      <c r="C54" s="126" t="s">
        <v>1101</v>
      </c>
      <c r="D54" s="121"/>
      <c r="E54" s="121"/>
      <c r="F54" s="121"/>
      <c r="G54" s="121"/>
      <c r="H54" s="121"/>
      <c r="I54" s="121"/>
      <c r="J54" s="121"/>
      <c r="K54" s="122"/>
      <c r="L54" s="42"/>
      <c r="M54" s="75" t="s">
        <v>45</v>
      </c>
      <c r="N54" s="39"/>
      <c r="O54" s="39"/>
      <c r="P54" s="39"/>
    </row>
    <row r="55" spans="2:16" ht="30" customHeight="1">
      <c r="B55" s="31">
        <v>44</v>
      </c>
      <c r="C55" s="126" t="s">
        <v>1102</v>
      </c>
      <c r="D55" s="121"/>
      <c r="E55" s="121"/>
      <c r="F55" s="121"/>
      <c r="G55" s="121"/>
      <c r="H55" s="121"/>
      <c r="I55" s="121"/>
      <c r="J55" s="121"/>
      <c r="K55" s="122"/>
      <c r="L55" s="42"/>
      <c r="M55" s="75" t="s">
        <v>45</v>
      </c>
      <c r="N55" s="39"/>
      <c r="O55" s="39"/>
      <c r="P55" s="39"/>
    </row>
    <row r="56" spans="2:16" ht="30" customHeight="1">
      <c r="B56" s="37">
        <v>45</v>
      </c>
      <c r="C56" s="126" t="s">
        <v>1103</v>
      </c>
      <c r="D56" s="121"/>
      <c r="E56" s="121"/>
      <c r="F56" s="121"/>
      <c r="G56" s="121"/>
      <c r="H56" s="121"/>
      <c r="I56" s="121"/>
      <c r="J56" s="121"/>
      <c r="K56" s="122"/>
      <c r="L56" s="42"/>
      <c r="M56" s="75" t="s">
        <v>45</v>
      </c>
      <c r="N56" s="39"/>
      <c r="O56" s="39"/>
      <c r="P56" s="39"/>
    </row>
    <row r="57" spans="2:16" ht="30" customHeight="1">
      <c r="B57" s="37">
        <v>46</v>
      </c>
      <c r="C57" s="126" t="s">
        <v>1104</v>
      </c>
      <c r="D57" s="121"/>
      <c r="E57" s="121"/>
      <c r="F57" s="121"/>
      <c r="G57" s="121"/>
      <c r="H57" s="121"/>
      <c r="I57" s="121"/>
      <c r="J57" s="121"/>
      <c r="K57" s="122"/>
      <c r="L57" s="40"/>
      <c r="M57" s="75" t="s">
        <v>45</v>
      </c>
      <c r="N57" s="39"/>
      <c r="O57" s="39"/>
      <c r="P57" s="39"/>
    </row>
    <row r="58" spans="2:16" ht="30" customHeight="1">
      <c r="B58" s="31">
        <v>47</v>
      </c>
      <c r="C58" s="126" t="s">
        <v>1105</v>
      </c>
      <c r="D58" s="121"/>
      <c r="E58" s="121"/>
      <c r="F58" s="121"/>
      <c r="G58" s="121"/>
      <c r="H58" s="121"/>
      <c r="I58" s="121"/>
      <c r="J58" s="121"/>
      <c r="K58" s="122"/>
      <c r="M58" s="75" t="s">
        <v>45</v>
      </c>
      <c r="N58" s="39"/>
      <c r="O58" s="39"/>
      <c r="P58" s="39"/>
    </row>
    <row r="59" spans="2:16" ht="30" customHeight="1">
      <c r="B59" s="37">
        <v>48</v>
      </c>
      <c r="C59" s="126" t="s">
        <v>1106</v>
      </c>
      <c r="D59" s="121"/>
      <c r="E59" s="121"/>
      <c r="F59" s="121"/>
      <c r="G59" s="121"/>
      <c r="H59" s="121"/>
      <c r="I59" s="121"/>
      <c r="J59" s="121"/>
      <c r="K59" s="122"/>
      <c r="M59" s="75" t="s">
        <v>45</v>
      </c>
      <c r="N59" s="39"/>
      <c r="O59" s="39"/>
      <c r="P59" s="39"/>
    </row>
    <row r="60" spans="2:16" ht="30" customHeight="1">
      <c r="B60" s="37"/>
      <c r="C60" s="120"/>
      <c r="D60" s="121"/>
      <c r="E60" s="121"/>
      <c r="F60" s="121"/>
      <c r="G60" s="121"/>
      <c r="H60" s="121"/>
      <c r="I60" s="121"/>
      <c r="J60" s="121"/>
      <c r="K60" s="122"/>
      <c r="M60" s="39"/>
      <c r="N60" s="39"/>
      <c r="O60" s="39"/>
      <c r="P60" s="39"/>
    </row>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57">
    <mergeCell ref="C47:K47"/>
    <mergeCell ref="C48:K48"/>
    <mergeCell ref="C49:K49"/>
    <mergeCell ref="C59:K59"/>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9:K39"/>
    <mergeCell ref="C50:K50"/>
    <mergeCell ref="C51:K51"/>
    <mergeCell ref="C52:K52"/>
    <mergeCell ref="C34:K34"/>
    <mergeCell ref="C35:K35"/>
    <mergeCell ref="C36:K36"/>
    <mergeCell ref="C37:K37"/>
    <mergeCell ref="C38:K38"/>
    <mergeCell ref="C40:K40"/>
    <mergeCell ref="C41:K41"/>
    <mergeCell ref="C42:K42"/>
    <mergeCell ref="C43:K43"/>
    <mergeCell ref="C44:K44"/>
    <mergeCell ref="C45:K45"/>
    <mergeCell ref="C46:K46"/>
    <mergeCell ref="C58:K58"/>
    <mergeCell ref="C60:K60"/>
    <mergeCell ref="C53:K53"/>
    <mergeCell ref="C54:K54"/>
    <mergeCell ref="C55:K55"/>
    <mergeCell ref="C56:K56"/>
    <mergeCell ref="C57:K57"/>
  </mergeCells>
  <hyperlinks>
    <hyperlink ref="V2" location="'REQ. NO FUN. GEN'!A1" display="Volver" xr:uid="{00000000-0004-0000-0F00-000000000000}"/>
  </hyperlink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1012"/>
  <sheetViews>
    <sheetView zoomScaleNormal="100" workbookViewId="0"/>
  </sheetViews>
  <sheetFormatPr baseColWidth="10" defaultColWidth="12.5703125" defaultRowHeight="15" customHeight="1"/>
  <cols>
    <col min="1" max="1" width="10.5703125" customWidth="1"/>
    <col min="2" max="2" width="4.28515625" customWidth="1"/>
    <col min="3" max="15" width="10.5703125" customWidth="1"/>
    <col min="16" max="16" width="22.7109375" customWidth="1"/>
    <col min="17" max="26" width="10.5703125" customWidth="1"/>
  </cols>
  <sheetData>
    <row r="1" spans="2:20" ht="14.25" customHeight="1">
      <c r="B1" s="25"/>
    </row>
    <row r="2" spans="2:20" ht="14.25" customHeight="1">
      <c r="B2" s="26" t="s">
        <v>31</v>
      </c>
      <c r="C2" s="135" t="s">
        <v>32</v>
      </c>
      <c r="D2" s="136"/>
      <c r="E2" s="136"/>
      <c r="F2" s="136"/>
      <c r="G2" s="136"/>
      <c r="T2" s="61" t="s">
        <v>13</v>
      </c>
    </row>
    <row r="3" spans="2:20" ht="14.25" customHeight="1">
      <c r="B3" s="26" t="s">
        <v>33</v>
      </c>
      <c r="C3" s="135" t="s">
        <v>34</v>
      </c>
      <c r="D3" s="136"/>
      <c r="E3" s="136"/>
      <c r="F3" s="136"/>
      <c r="G3" s="136"/>
    </row>
    <row r="4" spans="2:20" ht="14.25" customHeight="1">
      <c r="B4" s="26" t="s">
        <v>35</v>
      </c>
      <c r="C4" s="135" t="s">
        <v>36</v>
      </c>
      <c r="D4" s="136"/>
      <c r="E4" s="136"/>
      <c r="F4" s="136"/>
      <c r="G4" s="136"/>
    </row>
    <row r="5" spans="2:20" ht="14.25" customHeight="1">
      <c r="B5" s="137" t="s">
        <v>37</v>
      </c>
      <c r="C5" s="136"/>
      <c r="D5" s="28" t="s">
        <v>38</v>
      </c>
      <c r="E5" s="28"/>
      <c r="F5" s="28"/>
      <c r="G5" s="29"/>
    </row>
    <row r="6" spans="2:20" ht="14.25" customHeight="1">
      <c r="B6" s="25"/>
    </row>
    <row r="7" spans="2:20" ht="14.25" customHeight="1">
      <c r="B7" s="30" t="s">
        <v>39</v>
      </c>
    </row>
    <row r="8" spans="2:20" ht="14.25" customHeight="1">
      <c r="B8" s="25"/>
      <c r="M8" s="123" t="s">
        <v>40</v>
      </c>
      <c r="N8" s="124"/>
      <c r="O8" s="125"/>
      <c r="P8" s="127" t="s">
        <v>41</v>
      </c>
    </row>
    <row r="9" spans="2:20" ht="14.25" customHeight="1">
      <c r="B9" s="31"/>
      <c r="C9" s="129" t="s">
        <v>273</v>
      </c>
      <c r="D9" s="130"/>
      <c r="E9" s="130"/>
      <c r="F9" s="130"/>
      <c r="G9" s="130"/>
      <c r="H9" s="130"/>
      <c r="I9" s="130"/>
      <c r="J9" s="131"/>
      <c r="K9" s="32"/>
      <c r="M9" s="33" t="s">
        <v>31</v>
      </c>
      <c r="N9" s="34" t="s">
        <v>33</v>
      </c>
      <c r="O9" s="34" t="s">
        <v>35</v>
      </c>
      <c r="P9" s="128"/>
    </row>
    <row r="10" spans="2:20" ht="14.25" customHeight="1">
      <c r="B10" s="35"/>
    </row>
    <row r="11" spans="2:20" ht="14.25" customHeight="1">
      <c r="B11" s="36"/>
      <c r="C11" s="132"/>
      <c r="D11" s="133"/>
      <c r="E11" s="134"/>
      <c r="F11" s="32"/>
      <c r="G11" s="32"/>
      <c r="H11" s="32"/>
      <c r="I11" s="32"/>
      <c r="J11" s="32"/>
      <c r="K11" s="32"/>
    </row>
    <row r="12" spans="2:20" ht="32.25" customHeight="1">
      <c r="B12" s="37">
        <v>1</v>
      </c>
      <c r="C12" s="126" t="s">
        <v>274</v>
      </c>
      <c r="D12" s="121"/>
      <c r="E12" s="121"/>
      <c r="F12" s="121"/>
      <c r="G12" s="121"/>
      <c r="H12" s="121"/>
      <c r="I12" s="121"/>
      <c r="J12" s="121"/>
      <c r="K12" s="122"/>
      <c r="L12" s="42"/>
      <c r="M12" s="53" t="s">
        <v>45</v>
      </c>
      <c r="N12" s="54"/>
      <c r="O12" s="54"/>
      <c r="P12" s="55"/>
    </row>
    <row r="13" spans="2:20" ht="32.25" customHeight="1">
      <c r="B13" s="37">
        <v>2</v>
      </c>
      <c r="C13" s="120" t="s">
        <v>589</v>
      </c>
      <c r="D13" s="121"/>
      <c r="E13" s="121"/>
      <c r="F13" s="121"/>
      <c r="G13" s="121"/>
      <c r="H13" s="121"/>
      <c r="I13" s="121"/>
      <c r="J13" s="121"/>
      <c r="K13" s="122"/>
      <c r="L13" s="42"/>
      <c r="M13" s="53" t="s">
        <v>45</v>
      </c>
      <c r="N13" s="54"/>
      <c r="O13" s="54"/>
      <c r="P13" s="55"/>
    </row>
    <row r="14" spans="2:20" ht="32.25" customHeight="1">
      <c r="B14" s="37">
        <v>3</v>
      </c>
      <c r="C14" s="120" t="s">
        <v>275</v>
      </c>
      <c r="D14" s="121"/>
      <c r="E14" s="121"/>
      <c r="F14" s="121"/>
      <c r="G14" s="121"/>
      <c r="H14" s="121"/>
      <c r="I14" s="121"/>
      <c r="J14" s="121"/>
      <c r="K14" s="122"/>
      <c r="L14" s="42"/>
      <c r="M14" s="53" t="s">
        <v>45</v>
      </c>
      <c r="N14" s="54"/>
      <c r="O14" s="54"/>
      <c r="P14" s="55"/>
    </row>
    <row r="15" spans="2:20" ht="32.25" customHeight="1">
      <c r="B15" s="37">
        <v>4</v>
      </c>
      <c r="C15" s="120" t="s">
        <v>276</v>
      </c>
      <c r="D15" s="121"/>
      <c r="E15" s="121"/>
      <c r="F15" s="121"/>
      <c r="G15" s="121"/>
      <c r="H15" s="121"/>
      <c r="I15" s="121"/>
      <c r="J15" s="121"/>
      <c r="K15" s="122"/>
      <c r="L15" s="42"/>
      <c r="M15" s="53" t="s">
        <v>45</v>
      </c>
      <c r="N15" s="54"/>
      <c r="O15" s="54"/>
      <c r="P15" s="55"/>
    </row>
    <row r="16" spans="2:20" ht="32.25" customHeight="1">
      <c r="B16" s="37">
        <v>5</v>
      </c>
      <c r="C16" s="120" t="s">
        <v>277</v>
      </c>
      <c r="D16" s="121"/>
      <c r="E16" s="121"/>
      <c r="F16" s="121"/>
      <c r="G16" s="121"/>
      <c r="H16" s="121"/>
      <c r="I16" s="121"/>
      <c r="J16" s="121"/>
      <c r="K16" s="122"/>
      <c r="L16" s="42"/>
      <c r="M16" s="53" t="s">
        <v>45</v>
      </c>
      <c r="N16" s="54"/>
      <c r="O16" s="54"/>
      <c r="P16" s="55"/>
    </row>
    <row r="17" spans="2:18" ht="32.25" customHeight="1">
      <c r="B17" s="37">
        <v>6</v>
      </c>
      <c r="C17" s="120" t="s">
        <v>278</v>
      </c>
      <c r="D17" s="121"/>
      <c r="E17" s="121"/>
      <c r="F17" s="121"/>
      <c r="G17" s="121"/>
      <c r="H17" s="121"/>
      <c r="I17" s="121"/>
      <c r="J17" s="121"/>
      <c r="K17" s="122"/>
      <c r="L17" s="42"/>
      <c r="M17" s="53" t="s">
        <v>45</v>
      </c>
      <c r="N17" s="54"/>
      <c r="O17" s="54"/>
      <c r="P17" s="55"/>
    </row>
    <row r="18" spans="2:18" ht="32.25" customHeight="1">
      <c r="B18" s="37">
        <v>7</v>
      </c>
      <c r="C18" s="120" t="s">
        <v>279</v>
      </c>
      <c r="D18" s="121"/>
      <c r="E18" s="121"/>
      <c r="F18" s="121"/>
      <c r="G18" s="121"/>
      <c r="H18" s="121"/>
      <c r="I18" s="121"/>
      <c r="J18" s="121"/>
      <c r="K18" s="122"/>
      <c r="L18" s="42"/>
      <c r="M18" s="53" t="s">
        <v>45</v>
      </c>
      <c r="N18" s="54"/>
      <c r="O18" s="54"/>
      <c r="P18" s="55"/>
    </row>
    <row r="19" spans="2:18" ht="32.25" customHeight="1">
      <c r="B19" s="37">
        <v>8</v>
      </c>
      <c r="C19" s="120" t="s">
        <v>280</v>
      </c>
      <c r="D19" s="121"/>
      <c r="E19" s="121"/>
      <c r="F19" s="121"/>
      <c r="G19" s="121"/>
      <c r="H19" s="121"/>
      <c r="I19" s="121"/>
      <c r="J19" s="121"/>
      <c r="K19" s="122"/>
      <c r="L19" s="42"/>
      <c r="M19" s="53" t="s">
        <v>45</v>
      </c>
      <c r="N19" s="54"/>
      <c r="O19" s="54"/>
      <c r="P19" s="55"/>
    </row>
    <row r="20" spans="2:18" ht="32.25" customHeight="1">
      <c r="B20" s="37">
        <v>9</v>
      </c>
      <c r="C20" s="120" t="s">
        <v>591</v>
      </c>
      <c r="D20" s="121"/>
      <c r="E20" s="121"/>
      <c r="F20" s="121"/>
      <c r="G20" s="121"/>
      <c r="H20" s="121"/>
      <c r="I20" s="121"/>
      <c r="J20" s="121"/>
      <c r="K20" s="122"/>
      <c r="L20" s="42"/>
      <c r="M20" s="53" t="s">
        <v>45</v>
      </c>
      <c r="N20" s="54"/>
      <c r="O20" s="54"/>
      <c r="P20" s="55"/>
      <c r="R20" s="43"/>
    </row>
    <row r="21" spans="2:18" ht="32.25" customHeight="1">
      <c r="B21" s="37">
        <v>10</v>
      </c>
      <c r="C21" s="120" t="s">
        <v>281</v>
      </c>
      <c r="D21" s="121"/>
      <c r="E21" s="121"/>
      <c r="F21" s="121"/>
      <c r="G21" s="121"/>
      <c r="H21" s="121"/>
      <c r="I21" s="121"/>
      <c r="J21" s="121"/>
      <c r="K21" s="122"/>
      <c r="L21" s="42"/>
      <c r="M21" s="53" t="s">
        <v>45</v>
      </c>
      <c r="N21" s="54"/>
      <c r="O21" s="54"/>
      <c r="P21" s="55"/>
    </row>
    <row r="22" spans="2:18" ht="42.75" customHeight="1">
      <c r="B22" s="37">
        <v>11</v>
      </c>
      <c r="C22" s="120" t="s">
        <v>582</v>
      </c>
      <c r="D22" s="121"/>
      <c r="E22" s="121"/>
      <c r="F22" s="121"/>
      <c r="G22" s="121"/>
      <c r="H22" s="121"/>
      <c r="I22" s="121"/>
      <c r="J22" s="121"/>
      <c r="K22" s="122"/>
      <c r="L22" s="42"/>
      <c r="M22" s="53" t="s">
        <v>45</v>
      </c>
      <c r="N22" s="54"/>
      <c r="O22" s="54"/>
      <c r="P22" s="55"/>
      <c r="R22" s="43"/>
    </row>
    <row r="23" spans="2:18" ht="42.75" customHeight="1">
      <c r="B23" s="37">
        <v>12</v>
      </c>
      <c r="C23" s="120" t="s">
        <v>587</v>
      </c>
      <c r="D23" s="121"/>
      <c r="E23" s="121"/>
      <c r="F23" s="121"/>
      <c r="G23" s="121"/>
      <c r="H23" s="121"/>
      <c r="I23" s="121"/>
      <c r="J23" s="121"/>
      <c r="K23" s="122"/>
      <c r="L23" s="42"/>
      <c r="M23" s="53" t="s">
        <v>45</v>
      </c>
      <c r="N23" s="54"/>
      <c r="O23" s="54"/>
      <c r="P23" s="57"/>
      <c r="R23" s="43"/>
    </row>
    <row r="24" spans="2:18" ht="42.75" customHeight="1">
      <c r="B24" s="37">
        <v>13</v>
      </c>
      <c r="C24" s="120" t="s">
        <v>583</v>
      </c>
      <c r="D24" s="121"/>
      <c r="E24" s="121"/>
      <c r="F24" s="121"/>
      <c r="G24" s="121"/>
      <c r="H24" s="121"/>
      <c r="I24" s="121"/>
      <c r="J24" s="121"/>
      <c r="K24" s="122"/>
      <c r="L24" s="42"/>
      <c r="M24" s="53" t="s">
        <v>45</v>
      </c>
      <c r="N24" s="54"/>
      <c r="O24" s="54"/>
      <c r="P24" s="57"/>
      <c r="R24" s="43"/>
    </row>
    <row r="25" spans="2:18" ht="66.75" customHeight="1">
      <c r="B25" s="37">
        <v>14</v>
      </c>
      <c r="C25" s="126" t="s">
        <v>602</v>
      </c>
      <c r="D25" s="121"/>
      <c r="E25" s="121"/>
      <c r="F25" s="121"/>
      <c r="G25" s="121"/>
      <c r="H25" s="121"/>
      <c r="I25" s="121"/>
      <c r="J25" s="121"/>
      <c r="K25" s="122"/>
      <c r="L25" s="42"/>
      <c r="M25" s="53" t="s">
        <v>45</v>
      </c>
      <c r="N25" s="54"/>
      <c r="O25" s="54"/>
      <c r="P25" s="57"/>
      <c r="R25" s="43"/>
    </row>
    <row r="26" spans="2:18" ht="32.25" customHeight="1">
      <c r="B26" s="37">
        <v>15</v>
      </c>
      <c r="C26" s="126" t="s">
        <v>588</v>
      </c>
      <c r="D26" s="121"/>
      <c r="E26" s="121"/>
      <c r="F26" s="121"/>
      <c r="G26" s="121"/>
      <c r="H26" s="121"/>
      <c r="I26" s="121"/>
      <c r="J26" s="121"/>
      <c r="K26" s="122"/>
      <c r="L26" s="42"/>
      <c r="M26" s="53" t="s">
        <v>45</v>
      </c>
      <c r="N26" s="54"/>
      <c r="O26" s="54"/>
      <c r="P26" s="57"/>
      <c r="R26" s="43"/>
    </row>
    <row r="27" spans="2:18" ht="27.75" customHeight="1">
      <c r="B27" s="37">
        <v>16</v>
      </c>
      <c r="C27" s="126" t="s">
        <v>584</v>
      </c>
      <c r="D27" s="121"/>
      <c r="E27" s="121"/>
      <c r="F27" s="121"/>
      <c r="G27" s="121"/>
      <c r="H27" s="121"/>
      <c r="I27" s="121"/>
      <c r="J27" s="121"/>
      <c r="K27" s="122"/>
      <c r="L27" s="42"/>
      <c r="M27" s="53" t="s">
        <v>45</v>
      </c>
      <c r="N27" s="54"/>
      <c r="O27" s="54"/>
      <c r="P27" s="57"/>
      <c r="R27" s="43"/>
    </row>
    <row r="28" spans="2:18" ht="32.25" customHeight="1">
      <c r="B28" s="37">
        <v>17</v>
      </c>
      <c r="C28" s="126" t="s">
        <v>585</v>
      </c>
      <c r="D28" s="121"/>
      <c r="E28" s="121"/>
      <c r="F28" s="121"/>
      <c r="G28" s="121"/>
      <c r="H28" s="121"/>
      <c r="I28" s="121"/>
      <c r="J28" s="121"/>
      <c r="K28" s="122"/>
      <c r="L28" s="42"/>
      <c r="M28" s="53" t="s">
        <v>45</v>
      </c>
      <c r="N28" s="54"/>
      <c r="O28" s="54"/>
      <c r="P28" s="57"/>
      <c r="R28" s="43"/>
    </row>
    <row r="29" spans="2:18" ht="67.5" customHeight="1">
      <c r="B29" s="37">
        <v>18</v>
      </c>
      <c r="C29" s="126" t="s">
        <v>586</v>
      </c>
      <c r="D29" s="121"/>
      <c r="E29" s="121"/>
      <c r="F29" s="121"/>
      <c r="G29" s="121"/>
      <c r="H29" s="121"/>
      <c r="I29" s="121"/>
      <c r="J29" s="121"/>
      <c r="K29" s="122"/>
      <c r="L29" s="42"/>
      <c r="M29" s="53" t="s">
        <v>45</v>
      </c>
      <c r="N29" s="54"/>
      <c r="O29" s="54"/>
      <c r="P29" s="57"/>
      <c r="R29" s="43"/>
    </row>
    <row r="30" spans="2:18" ht="62.25" customHeight="1">
      <c r="B30" s="37">
        <v>19</v>
      </c>
      <c r="C30" s="126" t="s">
        <v>605</v>
      </c>
      <c r="D30" s="121"/>
      <c r="E30" s="121"/>
      <c r="F30" s="121"/>
      <c r="G30" s="121"/>
      <c r="H30" s="121"/>
      <c r="I30" s="121"/>
      <c r="J30" s="121"/>
      <c r="K30" s="122"/>
      <c r="L30" s="42"/>
      <c r="M30" s="53" t="s">
        <v>45</v>
      </c>
      <c r="N30" s="54"/>
      <c r="O30" s="54"/>
      <c r="P30" s="57"/>
      <c r="R30" s="43"/>
    </row>
    <row r="31" spans="2:18" ht="32.25" customHeight="1">
      <c r="B31" s="37">
        <v>20</v>
      </c>
      <c r="C31" s="120" t="s">
        <v>282</v>
      </c>
      <c r="D31" s="121"/>
      <c r="E31" s="121"/>
      <c r="F31" s="121"/>
      <c r="G31" s="121"/>
      <c r="H31" s="121"/>
      <c r="I31" s="121"/>
      <c r="J31" s="121"/>
      <c r="K31" s="122"/>
      <c r="L31" s="42"/>
      <c r="M31" s="53" t="s">
        <v>45</v>
      </c>
      <c r="N31" s="54"/>
      <c r="O31" s="54"/>
      <c r="P31" s="55"/>
    </row>
    <row r="32" spans="2:18" ht="56.25" customHeight="1">
      <c r="B32" s="37">
        <v>21</v>
      </c>
      <c r="C32" s="120" t="s">
        <v>590</v>
      </c>
      <c r="D32" s="121"/>
      <c r="E32" s="121"/>
      <c r="F32" s="121"/>
      <c r="G32" s="121"/>
      <c r="H32" s="121"/>
      <c r="I32" s="121"/>
      <c r="J32" s="121"/>
      <c r="K32" s="122"/>
      <c r="L32" s="42"/>
      <c r="M32" s="53" t="s">
        <v>45</v>
      </c>
      <c r="N32" s="54"/>
      <c r="O32" s="54"/>
      <c r="P32" s="55"/>
    </row>
    <row r="33" spans="2:16" ht="46.5" customHeight="1">
      <c r="B33" s="37">
        <v>22</v>
      </c>
      <c r="C33" s="126" t="s">
        <v>593</v>
      </c>
      <c r="D33" s="121"/>
      <c r="E33" s="121"/>
      <c r="F33" s="121"/>
      <c r="G33" s="121"/>
      <c r="H33" s="121"/>
      <c r="I33" s="121"/>
      <c r="J33" s="121"/>
      <c r="K33" s="122"/>
      <c r="L33" s="42"/>
      <c r="M33" s="53" t="s">
        <v>45</v>
      </c>
      <c r="N33" s="54"/>
      <c r="O33" s="54"/>
      <c r="P33" s="55"/>
    </row>
    <row r="34" spans="2:16" ht="32.25" customHeight="1">
      <c r="B34" s="37">
        <v>23</v>
      </c>
      <c r="C34" s="120" t="s">
        <v>592</v>
      </c>
      <c r="D34" s="121"/>
      <c r="E34" s="121"/>
      <c r="F34" s="121"/>
      <c r="G34" s="121"/>
      <c r="H34" s="121"/>
      <c r="I34" s="121"/>
      <c r="J34" s="121"/>
      <c r="K34" s="122"/>
      <c r="L34" s="42"/>
      <c r="M34" s="53" t="s">
        <v>45</v>
      </c>
      <c r="N34" s="54"/>
      <c r="O34" s="54"/>
      <c r="P34" s="55"/>
    </row>
    <row r="35" spans="2:16" ht="48.75" customHeight="1">
      <c r="B35" s="37">
        <v>24</v>
      </c>
      <c r="C35" s="126" t="s">
        <v>603</v>
      </c>
      <c r="D35" s="121"/>
      <c r="E35" s="121"/>
      <c r="F35" s="121"/>
      <c r="G35" s="121"/>
      <c r="H35" s="121"/>
      <c r="I35" s="121"/>
      <c r="J35" s="121"/>
      <c r="K35" s="122"/>
      <c r="L35" s="42"/>
      <c r="M35" s="62" t="s">
        <v>45</v>
      </c>
      <c r="N35" s="54"/>
      <c r="O35" s="54"/>
      <c r="P35" s="55"/>
    </row>
    <row r="36" spans="2:16" ht="27.75" customHeight="1">
      <c r="B36" s="37">
        <v>25</v>
      </c>
      <c r="C36" s="126" t="s">
        <v>600</v>
      </c>
      <c r="D36" s="121"/>
      <c r="E36" s="121"/>
      <c r="F36" s="121"/>
      <c r="G36" s="121"/>
      <c r="H36" s="121"/>
      <c r="I36" s="121"/>
      <c r="J36" s="121"/>
      <c r="K36" s="122"/>
      <c r="L36" s="42"/>
      <c r="M36" s="62" t="s">
        <v>45</v>
      </c>
      <c r="N36" s="54"/>
      <c r="O36" s="54"/>
      <c r="P36" s="57"/>
    </row>
    <row r="37" spans="2:16" ht="27.75" customHeight="1">
      <c r="B37" s="37">
        <v>26</v>
      </c>
      <c r="C37" s="126" t="s">
        <v>601</v>
      </c>
      <c r="D37" s="121"/>
      <c r="E37" s="121"/>
      <c r="F37" s="121"/>
      <c r="G37" s="121"/>
      <c r="H37" s="121"/>
      <c r="I37" s="121"/>
      <c r="J37" s="121"/>
      <c r="K37" s="122"/>
      <c r="L37" s="42"/>
      <c r="M37" s="62" t="s">
        <v>45</v>
      </c>
      <c r="N37" s="54"/>
      <c r="O37" s="54"/>
      <c r="P37" s="57"/>
    </row>
    <row r="38" spans="2:16" ht="32.25" customHeight="1">
      <c r="B38" s="37">
        <v>27</v>
      </c>
      <c r="C38" s="126" t="s">
        <v>595</v>
      </c>
      <c r="D38" s="121"/>
      <c r="E38" s="121"/>
      <c r="F38" s="121"/>
      <c r="G38" s="121"/>
      <c r="H38" s="121"/>
      <c r="I38" s="121"/>
      <c r="J38" s="121"/>
      <c r="K38" s="122"/>
      <c r="L38" s="42"/>
      <c r="M38" s="62" t="s">
        <v>45</v>
      </c>
      <c r="N38" s="54"/>
      <c r="O38" s="54"/>
      <c r="P38" s="57"/>
    </row>
    <row r="39" spans="2:16" ht="32.25" customHeight="1">
      <c r="B39" s="37">
        <v>28</v>
      </c>
      <c r="C39" s="126" t="s">
        <v>596</v>
      </c>
      <c r="D39" s="180"/>
      <c r="E39" s="180"/>
      <c r="F39" s="180"/>
      <c r="G39" s="180"/>
      <c r="H39" s="180"/>
      <c r="I39" s="180"/>
      <c r="J39" s="180"/>
      <c r="K39" s="181"/>
      <c r="L39" s="42"/>
      <c r="M39" s="62" t="s">
        <v>45</v>
      </c>
      <c r="N39" s="54"/>
      <c r="O39" s="54"/>
      <c r="P39" s="57"/>
    </row>
    <row r="40" spans="2:16" ht="32.25" customHeight="1">
      <c r="B40" s="37">
        <v>29</v>
      </c>
      <c r="C40" s="126" t="s">
        <v>597</v>
      </c>
      <c r="D40" s="121"/>
      <c r="E40" s="121"/>
      <c r="F40" s="121"/>
      <c r="G40" s="121"/>
      <c r="H40" s="121"/>
      <c r="I40" s="121"/>
      <c r="J40" s="121"/>
      <c r="K40" s="122"/>
      <c r="L40" s="42"/>
      <c r="M40" s="62" t="s">
        <v>45</v>
      </c>
      <c r="N40" s="54"/>
      <c r="O40" s="54"/>
      <c r="P40" s="57"/>
    </row>
    <row r="41" spans="2:16" ht="32.25" customHeight="1">
      <c r="B41" s="37">
        <v>30</v>
      </c>
      <c r="C41" s="126" t="s">
        <v>585</v>
      </c>
      <c r="D41" s="121"/>
      <c r="E41" s="121"/>
      <c r="F41" s="121"/>
      <c r="G41" s="121"/>
      <c r="H41" s="121"/>
      <c r="I41" s="121"/>
      <c r="J41" s="121"/>
      <c r="K41" s="122"/>
      <c r="L41" s="42"/>
      <c r="M41" s="62" t="s">
        <v>45</v>
      </c>
      <c r="N41" s="54"/>
      <c r="O41" s="54"/>
      <c r="P41" s="57"/>
    </row>
    <row r="42" spans="2:16" ht="48.75" customHeight="1">
      <c r="B42" s="37">
        <v>31</v>
      </c>
      <c r="C42" s="126" t="s">
        <v>604</v>
      </c>
      <c r="D42" s="121"/>
      <c r="E42" s="121"/>
      <c r="F42" s="121"/>
      <c r="G42" s="121"/>
      <c r="H42" s="121"/>
      <c r="I42" s="121"/>
      <c r="J42" s="121"/>
      <c r="K42" s="122"/>
      <c r="L42" s="42"/>
      <c r="M42" s="62" t="s">
        <v>45</v>
      </c>
      <c r="N42" s="54"/>
      <c r="O42" s="54"/>
      <c r="P42" s="57"/>
    </row>
    <row r="43" spans="2:16" ht="61.5" customHeight="1">
      <c r="B43" s="37">
        <v>32</v>
      </c>
      <c r="C43" s="126" t="s">
        <v>606</v>
      </c>
      <c r="D43" s="121"/>
      <c r="E43" s="121"/>
      <c r="F43" s="121"/>
      <c r="G43" s="121"/>
      <c r="H43" s="121"/>
      <c r="I43" s="121"/>
      <c r="J43" s="121"/>
      <c r="K43" s="122"/>
      <c r="L43" s="42"/>
      <c r="M43" s="62" t="s">
        <v>45</v>
      </c>
      <c r="N43" s="54"/>
      <c r="O43" s="54"/>
      <c r="P43" s="57"/>
    </row>
    <row r="44" spans="2:16" ht="32.25" customHeight="1">
      <c r="B44" s="37">
        <v>33</v>
      </c>
      <c r="C44" s="120" t="s">
        <v>283</v>
      </c>
      <c r="D44" s="121"/>
      <c r="E44" s="121"/>
      <c r="F44" s="121"/>
      <c r="G44" s="121"/>
      <c r="H44" s="121"/>
      <c r="I44" s="121"/>
      <c r="J44" s="121"/>
      <c r="K44" s="122"/>
      <c r="L44" s="42"/>
      <c r="M44" s="53" t="s">
        <v>45</v>
      </c>
      <c r="N44" s="54"/>
      <c r="O44" s="54"/>
      <c r="P44" s="55"/>
    </row>
    <row r="45" spans="2:16" ht="32.25" customHeight="1">
      <c r="B45" s="37">
        <v>34</v>
      </c>
      <c r="C45" s="120" t="s">
        <v>284</v>
      </c>
      <c r="D45" s="121"/>
      <c r="E45" s="121"/>
      <c r="F45" s="121"/>
      <c r="G45" s="121"/>
      <c r="H45" s="121"/>
      <c r="I45" s="121"/>
      <c r="J45" s="121"/>
      <c r="K45" s="122"/>
      <c r="L45" s="42"/>
      <c r="M45" s="53" t="s">
        <v>45</v>
      </c>
      <c r="N45" s="54"/>
      <c r="O45" s="54"/>
      <c r="P45" s="55"/>
    </row>
    <row r="46" spans="2:16" ht="32.25" customHeight="1">
      <c r="B46" s="37">
        <v>35</v>
      </c>
      <c r="C46" s="120" t="s">
        <v>285</v>
      </c>
      <c r="D46" s="121"/>
      <c r="E46" s="121"/>
      <c r="F46" s="121"/>
      <c r="G46" s="121"/>
      <c r="H46" s="121"/>
      <c r="I46" s="121"/>
      <c r="J46" s="121"/>
      <c r="K46" s="122"/>
      <c r="L46" s="42"/>
      <c r="M46" s="53" t="s">
        <v>45</v>
      </c>
      <c r="N46" s="54"/>
      <c r="O46" s="54"/>
      <c r="P46" s="55"/>
    </row>
    <row r="47" spans="2:16" ht="32.25" customHeight="1">
      <c r="B47" s="37">
        <v>36</v>
      </c>
      <c r="C47" s="120" t="s">
        <v>668</v>
      </c>
      <c r="D47" s="121"/>
      <c r="E47" s="121"/>
      <c r="F47" s="121"/>
      <c r="G47" s="121"/>
      <c r="H47" s="121"/>
      <c r="I47" s="121"/>
      <c r="J47" s="121"/>
      <c r="K47" s="122"/>
      <c r="L47" s="42"/>
      <c r="M47" s="53" t="s">
        <v>45</v>
      </c>
      <c r="N47" s="54"/>
      <c r="O47" s="54"/>
      <c r="P47" s="55"/>
    </row>
    <row r="48" spans="2:16" ht="32.25" customHeight="1">
      <c r="B48" s="37">
        <v>37</v>
      </c>
      <c r="C48" s="120" t="s">
        <v>286</v>
      </c>
      <c r="D48" s="121"/>
      <c r="E48" s="121"/>
      <c r="F48" s="121"/>
      <c r="G48" s="121"/>
      <c r="H48" s="121"/>
      <c r="I48" s="121"/>
      <c r="J48" s="121"/>
      <c r="K48" s="122"/>
      <c r="L48" s="42"/>
      <c r="M48" s="53" t="s">
        <v>45</v>
      </c>
      <c r="N48" s="54"/>
      <c r="O48" s="54"/>
      <c r="P48" s="55"/>
    </row>
    <row r="49" spans="2:18" ht="32.25" customHeight="1">
      <c r="B49" s="37">
        <v>38</v>
      </c>
      <c r="C49" s="120" t="s">
        <v>287</v>
      </c>
      <c r="D49" s="121"/>
      <c r="E49" s="121"/>
      <c r="F49" s="121"/>
      <c r="G49" s="121"/>
      <c r="H49" s="121"/>
      <c r="I49" s="121"/>
      <c r="J49" s="121"/>
      <c r="K49" s="122"/>
      <c r="L49" s="42"/>
      <c r="M49" s="62" t="s">
        <v>45</v>
      </c>
      <c r="N49" s="54"/>
      <c r="O49" s="54"/>
      <c r="P49" s="55"/>
    </row>
    <row r="50" spans="2:18" ht="32.25" customHeight="1">
      <c r="B50" s="37">
        <v>39</v>
      </c>
      <c r="C50" s="120" t="s">
        <v>288</v>
      </c>
      <c r="D50" s="121"/>
      <c r="E50" s="121"/>
      <c r="F50" s="121"/>
      <c r="G50" s="121"/>
      <c r="H50" s="121"/>
      <c r="I50" s="121"/>
      <c r="J50" s="121"/>
      <c r="K50" s="122"/>
      <c r="L50" s="42"/>
      <c r="M50" s="62" t="s">
        <v>45</v>
      </c>
      <c r="N50" s="54"/>
      <c r="O50" s="54"/>
      <c r="P50" s="55"/>
    </row>
    <row r="51" spans="2:18" ht="32.25" customHeight="1">
      <c r="B51" s="37">
        <v>40</v>
      </c>
      <c r="C51" s="120" t="s">
        <v>289</v>
      </c>
      <c r="D51" s="121"/>
      <c r="E51" s="121"/>
      <c r="F51" s="121"/>
      <c r="G51" s="121"/>
      <c r="H51" s="121"/>
      <c r="I51" s="121"/>
      <c r="J51" s="121"/>
      <c r="K51" s="122"/>
      <c r="L51" s="42"/>
      <c r="M51" s="62" t="s">
        <v>45</v>
      </c>
      <c r="N51" s="54"/>
      <c r="O51" s="54"/>
      <c r="P51" s="55"/>
    </row>
    <row r="52" spans="2:18" ht="32.25" customHeight="1">
      <c r="B52" s="37">
        <v>41</v>
      </c>
      <c r="C52" s="120" t="s">
        <v>290</v>
      </c>
      <c r="D52" s="121"/>
      <c r="E52" s="121"/>
      <c r="F52" s="121"/>
      <c r="G52" s="121"/>
      <c r="H52" s="121"/>
      <c r="I52" s="121"/>
      <c r="J52" s="121"/>
      <c r="K52" s="122"/>
      <c r="L52" s="42"/>
      <c r="M52" s="53" t="s">
        <v>45</v>
      </c>
      <c r="N52" s="54"/>
      <c r="O52" s="54"/>
      <c r="P52" s="55"/>
    </row>
    <row r="53" spans="2:18" ht="32.25" customHeight="1">
      <c r="B53" s="37">
        <v>43</v>
      </c>
      <c r="C53" s="120" t="s">
        <v>291</v>
      </c>
      <c r="D53" s="121"/>
      <c r="E53" s="121"/>
      <c r="F53" s="121"/>
      <c r="G53" s="121"/>
      <c r="H53" s="121"/>
      <c r="I53" s="121"/>
      <c r="J53" s="121"/>
      <c r="K53" s="122"/>
      <c r="L53" s="42"/>
      <c r="M53" s="62" t="s">
        <v>45</v>
      </c>
      <c r="N53" s="54"/>
      <c r="O53" s="54"/>
      <c r="P53" s="55"/>
      <c r="R53" s="63" t="s">
        <v>594</v>
      </c>
    </row>
    <row r="54" spans="2:18" ht="32.25" customHeight="1">
      <c r="B54" s="37">
        <v>44</v>
      </c>
      <c r="C54" s="120" t="s">
        <v>292</v>
      </c>
      <c r="D54" s="121"/>
      <c r="E54" s="121"/>
      <c r="F54" s="121"/>
      <c r="G54" s="121"/>
      <c r="H54" s="121"/>
      <c r="I54" s="121"/>
      <c r="J54" s="121"/>
      <c r="K54" s="122"/>
      <c r="L54" s="42"/>
      <c r="M54" s="53"/>
      <c r="N54" s="54" t="s">
        <v>45</v>
      </c>
      <c r="O54" s="54"/>
      <c r="P54" s="55"/>
    </row>
    <row r="55" spans="2:18" ht="32.25" customHeight="1">
      <c r="B55" s="37">
        <v>45</v>
      </c>
      <c r="C55" s="120" t="s">
        <v>293</v>
      </c>
      <c r="D55" s="121"/>
      <c r="E55" s="121"/>
      <c r="F55" s="121"/>
      <c r="G55" s="121"/>
      <c r="H55" s="121"/>
      <c r="I55" s="121"/>
      <c r="J55" s="121"/>
      <c r="K55" s="122"/>
      <c r="L55" s="42"/>
      <c r="M55" s="62" t="s">
        <v>45</v>
      </c>
      <c r="N55" s="54"/>
      <c r="O55" s="54"/>
      <c r="P55" s="55"/>
    </row>
    <row r="56" spans="2:18" ht="14.25" customHeight="1"/>
    <row r="57" spans="2:18" ht="14.25" customHeight="1"/>
    <row r="58" spans="2:18" ht="14.25" customHeight="1">
      <c r="B58" s="31"/>
      <c r="C58" s="129" t="s">
        <v>294</v>
      </c>
      <c r="D58" s="130"/>
      <c r="E58" s="130"/>
      <c r="F58" s="130"/>
      <c r="G58" s="130"/>
      <c r="H58" s="130"/>
      <c r="I58" s="130"/>
      <c r="J58" s="131"/>
      <c r="K58" s="32"/>
    </row>
    <row r="59" spans="2:18" ht="14.25" customHeight="1"/>
    <row r="60" spans="2:18" ht="14.25" customHeight="1">
      <c r="B60" s="36"/>
      <c r="C60" s="132"/>
      <c r="D60" s="133"/>
      <c r="E60" s="134"/>
      <c r="F60" s="32"/>
      <c r="G60" s="32"/>
      <c r="H60" s="32"/>
      <c r="I60" s="32"/>
      <c r="J60" s="32"/>
      <c r="K60" s="32"/>
    </row>
    <row r="61" spans="2:18" ht="32.25" customHeight="1">
      <c r="B61" s="37">
        <v>1</v>
      </c>
      <c r="C61" s="120" t="s">
        <v>295</v>
      </c>
      <c r="D61" s="121"/>
      <c r="E61" s="121"/>
      <c r="F61" s="121"/>
      <c r="G61" s="121"/>
      <c r="H61" s="121"/>
      <c r="I61" s="121"/>
      <c r="J61" s="121"/>
      <c r="K61" s="122"/>
      <c r="L61" s="38"/>
      <c r="M61" s="53" t="s">
        <v>45</v>
      </c>
      <c r="N61" s="54"/>
      <c r="O61" s="54"/>
      <c r="P61" s="55"/>
    </row>
    <row r="62" spans="2:18" ht="32.25" customHeight="1">
      <c r="B62" s="31">
        <v>2</v>
      </c>
      <c r="C62" s="120" t="s">
        <v>296</v>
      </c>
      <c r="D62" s="121"/>
      <c r="E62" s="121"/>
      <c r="F62" s="121"/>
      <c r="G62" s="121"/>
      <c r="H62" s="121"/>
      <c r="I62" s="121"/>
      <c r="J62" s="121"/>
      <c r="K62" s="122"/>
      <c r="L62" s="40"/>
      <c r="M62" s="53" t="s">
        <v>45</v>
      </c>
      <c r="N62" s="54"/>
      <c r="O62" s="54"/>
      <c r="P62" s="55"/>
    </row>
    <row r="63" spans="2:18" ht="32.25" customHeight="1">
      <c r="B63" s="37">
        <v>3</v>
      </c>
      <c r="C63" s="120" t="s">
        <v>297</v>
      </c>
      <c r="D63" s="121"/>
      <c r="E63" s="121"/>
      <c r="F63" s="121"/>
      <c r="G63" s="121"/>
      <c r="H63" s="121"/>
      <c r="I63" s="121"/>
      <c r="J63" s="121"/>
      <c r="K63" s="122"/>
      <c r="M63" s="53" t="s">
        <v>45</v>
      </c>
      <c r="N63" s="54"/>
      <c r="O63" s="54"/>
      <c r="P63" s="55"/>
    </row>
    <row r="64" spans="2:18" ht="32.25" customHeight="1">
      <c r="B64" s="37">
        <v>4</v>
      </c>
      <c r="C64" s="120" t="s">
        <v>298</v>
      </c>
      <c r="D64" s="121"/>
      <c r="E64" s="121"/>
      <c r="F64" s="121"/>
      <c r="G64" s="121"/>
      <c r="H64" s="121"/>
      <c r="I64" s="121"/>
      <c r="J64" s="121"/>
      <c r="K64" s="122"/>
      <c r="M64" s="53" t="s">
        <v>45</v>
      </c>
      <c r="N64" s="54"/>
      <c r="O64" s="54"/>
      <c r="P64" s="55"/>
      <c r="R64" s="43" t="s">
        <v>299</v>
      </c>
    </row>
    <row r="65" spans="2:16" ht="32.25" customHeight="1">
      <c r="B65" s="37">
        <v>5</v>
      </c>
      <c r="C65" s="120" t="s">
        <v>300</v>
      </c>
      <c r="D65" s="121"/>
      <c r="E65" s="121"/>
      <c r="F65" s="121"/>
      <c r="G65" s="121"/>
      <c r="H65" s="121"/>
      <c r="I65" s="121"/>
      <c r="J65" s="121"/>
      <c r="K65" s="122"/>
      <c r="L65" s="38"/>
      <c r="M65" s="53" t="s">
        <v>45</v>
      </c>
      <c r="N65" s="54"/>
      <c r="O65" s="54"/>
      <c r="P65" s="55"/>
    </row>
    <row r="66" spans="2:16" ht="32.25" customHeight="1">
      <c r="B66" s="37">
        <v>6</v>
      </c>
      <c r="C66" s="120" t="s">
        <v>301</v>
      </c>
      <c r="D66" s="121"/>
      <c r="E66" s="121"/>
      <c r="F66" s="121"/>
      <c r="G66" s="121"/>
      <c r="H66" s="121"/>
      <c r="I66" s="121"/>
      <c r="J66" s="121"/>
      <c r="K66" s="122"/>
      <c r="L66" s="42"/>
      <c r="M66" s="53" t="s">
        <v>45</v>
      </c>
      <c r="N66" s="54"/>
      <c r="O66" s="54"/>
      <c r="P66" s="55"/>
    </row>
    <row r="67" spans="2:16" ht="32.25" customHeight="1">
      <c r="B67" s="31">
        <v>7</v>
      </c>
      <c r="C67" s="120" t="s">
        <v>302</v>
      </c>
      <c r="D67" s="121"/>
      <c r="E67" s="121"/>
      <c r="F67" s="121"/>
      <c r="G67" s="121"/>
      <c r="H67" s="121"/>
      <c r="I67" s="121"/>
      <c r="J67" s="121"/>
      <c r="K67" s="122"/>
      <c r="L67" s="42"/>
      <c r="M67" s="53" t="s">
        <v>45</v>
      </c>
      <c r="N67" s="54"/>
      <c r="O67" s="54"/>
      <c r="P67" s="55"/>
    </row>
    <row r="68" spans="2:16" ht="32.25" customHeight="1">
      <c r="B68" s="37">
        <v>8</v>
      </c>
      <c r="C68" s="120" t="s">
        <v>303</v>
      </c>
      <c r="D68" s="121"/>
      <c r="E68" s="121"/>
      <c r="F68" s="121"/>
      <c r="G68" s="121"/>
      <c r="H68" s="121"/>
      <c r="I68" s="121"/>
      <c r="J68" s="121"/>
      <c r="K68" s="122"/>
      <c r="L68" s="42"/>
      <c r="M68" s="53" t="s">
        <v>45</v>
      </c>
      <c r="N68" s="54"/>
      <c r="O68" s="54"/>
      <c r="P68" s="55"/>
    </row>
    <row r="69" spans="2:16" ht="32.25" customHeight="1">
      <c r="B69" s="37">
        <v>9</v>
      </c>
      <c r="C69" s="120" t="s">
        <v>304</v>
      </c>
      <c r="D69" s="121"/>
      <c r="E69" s="121"/>
      <c r="F69" s="121"/>
      <c r="G69" s="121"/>
      <c r="H69" s="121"/>
      <c r="I69" s="121"/>
      <c r="J69" s="121"/>
      <c r="K69" s="122"/>
      <c r="L69" s="42"/>
      <c r="M69" s="53" t="s">
        <v>45</v>
      </c>
      <c r="N69" s="54"/>
      <c r="O69" s="54"/>
      <c r="P69" s="55"/>
    </row>
    <row r="70" spans="2:16" ht="32.25" customHeight="1">
      <c r="B70" s="37">
        <v>10</v>
      </c>
      <c r="C70" s="120" t="s">
        <v>305</v>
      </c>
      <c r="D70" s="121"/>
      <c r="E70" s="121"/>
      <c r="F70" s="121"/>
      <c r="G70" s="121"/>
      <c r="H70" s="121"/>
      <c r="I70" s="121"/>
      <c r="J70" s="121"/>
      <c r="K70" s="122"/>
      <c r="L70" s="42"/>
      <c r="M70" s="53" t="s">
        <v>45</v>
      </c>
      <c r="N70" s="54"/>
      <c r="O70" s="54"/>
      <c r="P70" s="55"/>
    </row>
    <row r="71" spans="2:16" ht="32.25" customHeight="1">
      <c r="B71" s="37">
        <v>11</v>
      </c>
      <c r="C71" s="120"/>
      <c r="D71" s="121"/>
      <c r="E71" s="121"/>
      <c r="F71" s="121"/>
      <c r="G71" s="121"/>
      <c r="H71" s="121"/>
      <c r="I71" s="121"/>
      <c r="J71" s="121"/>
      <c r="K71" s="122"/>
      <c r="L71" s="42"/>
      <c r="M71" s="53"/>
      <c r="N71" s="54"/>
      <c r="O71" s="54"/>
      <c r="P71" s="55"/>
    </row>
    <row r="72" spans="2:16" ht="32.25" customHeight="1">
      <c r="B72" s="31">
        <v>12</v>
      </c>
      <c r="C72" s="120"/>
      <c r="D72" s="121"/>
      <c r="E72" s="121"/>
      <c r="F72" s="121"/>
      <c r="G72" s="121"/>
      <c r="H72" s="121"/>
      <c r="I72" s="121"/>
      <c r="J72" s="121"/>
      <c r="K72" s="122"/>
      <c r="L72" s="42"/>
      <c r="M72" s="53"/>
      <c r="N72" s="54"/>
      <c r="O72" s="54"/>
      <c r="P72" s="55"/>
    </row>
    <row r="73" spans="2:16" ht="32.25" customHeight="1">
      <c r="B73" s="37">
        <v>13</v>
      </c>
      <c r="C73" s="120"/>
      <c r="D73" s="121"/>
      <c r="E73" s="121"/>
      <c r="F73" s="121"/>
      <c r="G73" s="121"/>
      <c r="H73" s="121"/>
      <c r="I73" s="121"/>
      <c r="J73" s="121"/>
      <c r="K73" s="122"/>
      <c r="L73" s="40"/>
      <c r="M73" s="53"/>
      <c r="N73" s="54"/>
      <c r="O73" s="54"/>
      <c r="P73" s="55"/>
    </row>
    <row r="74" spans="2:16" ht="14.25" customHeight="1">
      <c r="B74" s="25"/>
    </row>
    <row r="75" spans="2:16" ht="14.25" customHeight="1">
      <c r="B75" s="25"/>
    </row>
    <row r="76" spans="2:16" ht="14.25" customHeight="1">
      <c r="B76" s="25"/>
    </row>
    <row r="77" spans="2:16" ht="14.25" customHeight="1">
      <c r="B77" s="25"/>
    </row>
    <row r="78" spans="2:16" ht="14.25" customHeight="1">
      <c r="B78" s="25"/>
    </row>
    <row r="79" spans="2:16" ht="14.25" customHeight="1">
      <c r="B79" s="25"/>
    </row>
    <row r="80" spans="2:16"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row r="998" spans="2:2" ht="14.25" customHeight="1">
      <c r="B998" s="25"/>
    </row>
    <row r="999" spans="2:2" ht="14.25" customHeight="1">
      <c r="B999" s="25"/>
    </row>
    <row r="1000" spans="2:2" ht="14.25" customHeight="1">
      <c r="B1000" s="25"/>
    </row>
    <row r="1001" spans="2:2" ht="14.25" customHeight="1">
      <c r="B1001" s="25"/>
    </row>
    <row r="1002" spans="2:2" ht="14.25" customHeight="1">
      <c r="B1002" s="25"/>
    </row>
    <row r="1003" spans="2:2" ht="14.25" customHeight="1">
      <c r="B1003" s="25"/>
    </row>
    <row r="1004" spans="2:2" ht="14.25" customHeight="1">
      <c r="B1004" s="25"/>
    </row>
    <row r="1005" spans="2:2" ht="14.25" customHeight="1">
      <c r="B1005" s="25"/>
    </row>
    <row r="1006" spans="2:2" ht="14.25" customHeight="1">
      <c r="B1006" s="25"/>
    </row>
    <row r="1007" spans="2:2" ht="14.25" customHeight="1">
      <c r="B1007" s="25"/>
    </row>
    <row r="1008" spans="2:2" ht="14.25" customHeight="1">
      <c r="B1008" s="25"/>
    </row>
    <row r="1009" spans="2:2" ht="14.25" customHeight="1">
      <c r="B1009" s="25"/>
    </row>
    <row r="1010" spans="2:2" ht="14.25" customHeight="1">
      <c r="B1010" s="25"/>
    </row>
    <row r="1011" spans="2:2" ht="14.25" customHeight="1">
      <c r="B1011" s="25"/>
    </row>
    <row r="1012" spans="2:2" ht="14.25" customHeight="1">
      <c r="B1012" s="25"/>
    </row>
  </sheetData>
  <mergeCells count="67">
    <mergeCell ref="C2:G2"/>
    <mergeCell ref="C3:G3"/>
    <mergeCell ref="C4:G4"/>
    <mergeCell ref="B5:C5"/>
    <mergeCell ref="M8:O8"/>
    <mergeCell ref="C19:K19"/>
    <mergeCell ref="C20:K20"/>
    <mergeCell ref="C21:K21"/>
    <mergeCell ref="C22:K22"/>
    <mergeCell ref="P8:P9"/>
    <mergeCell ref="C9:J9"/>
    <mergeCell ref="C11:E11"/>
    <mergeCell ref="C12:K12"/>
    <mergeCell ref="C13:K13"/>
    <mergeCell ref="C14:K14"/>
    <mergeCell ref="C15:K15"/>
    <mergeCell ref="C16:K16"/>
    <mergeCell ref="C17:K17"/>
    <mergeCell ref="C18:K18"/>
    <mergeCell ref="C23:K23"/>
    <mergeCell ref="C43:K43"/>
    <mergeCell ref="C31:K31"/>
    <mergeCell ref="C32:K32"/>
    <mergeCell ref="C33:K33"/>
    <mergeCell ref="C34:K34"/>
    <mergeCell ref="C30:K30"/>
    <mergeCell ref="C24:K24"/>
    <mergeCell ref="C25:K25"/>
    <mergeCell ref="C27:K27"/>
    <mergeCell ref="C28:K28"/>
    <mergeCell ref="C29:K29"/>
    <mergeCell ref="C26:K26"/>
    <mergeCell ref="C35:K35"/>
    <mergeCell ref="C36:K36"/>
    <mergeCell ref="C37:K37"/>
    <mergeCell ref="C44:K44"/>
    <mergeCell ref="C45:K45"/>
    <mergeCell ref="C46:K46"/>
    <mergeCell ref="C47:K47"/>
    <mergeCell ref="C38:K38"/>
    <mergeCell ref="C39:K39"/>
    <mergeCell ref="C40:K40"/>
    <mergeCell ref="C41:K41"/>
    <mergeCell ref="C42:K42"/>
    <mergeCell ref="C52:K52"/>
    <mergeCell ref="C53:K53"/>
    <mergeCell ref="C54:K54"/>
    <mergeCell ref="C55:K55"/>
    <mergeCell ref="C48:K48"/>
    <mergeCell ref="C49:K49"/>
    <mergeCell ref="C50:K50"/>
    <mergeCell ref="C51:K51"/>
    <mergeCell ref="C58:J58"/>
    <mergeCell ref="C60:E60"/>
    <mergeCell ref="C68:K68"/>
    <mergeCell ref="C69:K69"/>
    <mergeCell ref="C70:K70"/>
    <mergeCell ref="C71:K71"/>
    <mergeCell ref="C72:K72"/>
    <mergeCell ref="C73:K73"/>
    <mergeCell ref="C61:K61"/>
    <mergeCell ref="C62:K62"/>
    <mergeCell ref="C63:K63"/>
    <mergeCell ref="C64:K64"/>
    <mergeCell ref="C65:K65"/>
    <mergeCell ref="C66:K66"/>
    <mergeCell ref="C67:K67"/>
  </mergeCells>
  <hyperlinks>
    <hyperlink ref="T2" location="'REQ. FUN. GEN'!A1" display="Volver" xr:uid="{00000000-0004-0000-1000-000000000000}"/>
  </hyperlink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1019"/>
  <sheetViews>
    <sheetView workbookViewId="0">
      <selection activeCell="P49" sqref="P49"/>
    </sheetView>
  </sheetViews>
  <sheetFormatPr baseColWidth="10" defaultColWidth="12.5703125" defaultRowHeight="15" customHeight="1"/>
  <cols>
    <col min="1" max="1" width="10.5703125" customWidth="1"/>
    <col min="2" max="2" width="4.28515625" customWidth="1"/>
    <col min="3" max="15" width="10.5703125" customWidth="1"/>
    <col min="16" max="16" width="22.7109375" customWidth="1"/>
    <col min="17" max="26" width="10.5703125" customWidth="1"/>
  </cols>
  <sheetData>
    <row r="1" spans="2:20" ht="14.25" customHeight="1">
      <c r="B1" s="25"/>
    </row>
    <row r="2" spans="2:20" ht="14.25" customHeight="1">
      <c r="B2" s="26" t="s">
        <v>31</v>
      </c>
      <c r="C2" s="135" t="s">
        <v>32</v>
      </c>
      <c r="D2" s="136"/>
      <c r="E2" s="136"/>
      <c r="F2" s="136"/>
      <c r="G2" s="136"/>
      <c r="T2" s="78" t="s">
        <v>13</v>
      </c>
    </row>
    <row r="3" spans="2:20" ht="14.25" customHeight="1">
      <c r="B3" s="26" t="s">
        <v>33</v>
      </c>
      <c r="C3" s="135" t="s">
        <v>34</v>
      </c>
      <c r="D3" s="136"/>
      <c r="E3" s="136"/>
      <c r="F3" s="136"/>
      <c r="G3" s="136"/>
    </row>
    <row r="4" spans="2:20" ht="14.25" customHeight="1">
      <c r="B4" s="26" t="s">
        <v>35</v>
      </c>
      <c r="C4" s="135" t="s">
        <v>36</v>
      </c>
      <c r="D4" s="136"/>
      <c r="E4" s="136"/>
      <c r="F4" s="136"/>
      <c r="G4" s="136"/>
    </row>
    <row r="5" spans="2:20" ht="14.25" customHeight="1">
      <c r="B5" s="137" t="s">
        <v>37</v>
      </c>
      <c r="C5" s="136"/>
      <c r="D5" s="28" t="s">
        <v>38</v>
      </c>
      <c r="E5" s="28"/>
      <c r="F5" s="28"/>
      <c r="G5" s="29"/>
    </row>
    <row r="6" spans="2:20" ht="14.25" customHeight="1">
      <c r="B6" s="25"/>
    </row>
    <row r="7" spans="2:20" ht="14.25" customHeight="1">
      <c r="B7" s="30" t="s">
        <v>39</v>
      </c>
    </row>
    <row r="8" spans="2:20" ht="14.25" customHeight="1">
      <c r="B8" s="25"/>
      <c r="M8" s="123" t="s">
        <v>40</v>
      </c>
      <c r="N8" s="124"/>
      <c r="O8" s="125"/>
      <c r="P8" s="127" t="s">
        <v>41</v>
      </c>
    </row>
    <row r="9" spans="2:20" ht="14.25" customHeight="1">
      <c r="B9" s="31"/>
      <c r="C9" s="129" t="s">
        <v>306</v>
      </c>
      <c r="D9" s="130"/>
      <c r="E9" s="130"/>
      <c r="F9" s="130"/>
      <c r="G9" s="130"/>
      <c r="H9" s="130"/>
      <c r="I9" s="130"/>
      <c r="J9" s="131"/>
      <c r="K9" s="32"/>
      <c r="M9" s="33" t="s">
        <v>31</v>
      </c>
      <c r="N9" s="34" t="s">
        <v>33</v>
      </c>
      <c r="O9" s="34" t="s">
        <v>35</v>
      </c>
      <c r="P9" s="128"/>
    </row>
    <row r="10" spans="2:20" ht="14.25" customHeight="1">
      <c r="B10" s="35"/>
    </row>
    <row r="11" spans="2:20" ht="14.25" customHeight="1">
      <c r="B11" s="36"/>
      <c r="C11" s="132"/>
      <c r="D11" s="133"/>
      <c r="E11" s="134"/>
      <c r="F11" s="32"/>
      <c r="G11" s="32"/>
      <c r="H11" s="32"/>
      <c r="I11" s="32"/>
      <c r="J11" s="32"/>
      <c r="K11" s="32"/>
    </row>
    <row r="12" spans="2:20" ht="30" customHeight="1">
      <c r="B12" s="37">
        <v>1</v>
      </c>
      <c r="C12" s="120" t="s">
        <v>657</v>
      </c>
      <c r="D12" s="121"/>
      <c r="E12" s="121"/>
      <c r="F12" s="121"/>
      <c r="G12" s="121"/>
      <c r="H12" s="121"/>
      <c r="I12" s="121"/>
      <c r="J12" s="121"/>
      <c r="K12" s="122"/>
      <c r="L12" s="38"/>
      <c r="M12" s="53" t="s">
        <v>45</v>
      </c>
      <c r="N12" s="54"/>
      <c r="O12" s="54"/>
      <c r="P12" s="55"/>
    </row>
    <row r="13" spans="2:20" ht="30" customHeight="1">
      <c r="B13" s="58">
        <v>2</v>
      </c>
      <c r="C13" s="120" t="s">
        <v>647</v>
      </c>
      <c r="D13" s="121"/>
      <c r="E13" s="121"/>
      <c r="F13" s="121"/>
      <c r="G13" s="121"/>
      <c r="H13" s="121"/>
      <c r="I13" s="121"/>
      <c r="J13" s="121"/>
      <c r="K13" s="122"/>
      <c r="L13" s="59"/>
      <c r="M13" s="53" t="s">
        <v>45</v>
      </c>
      <c r="N13" s="54"/>
      <c r="O13" s="54"/>
      <c r="P13" s="57"/>
    </row>
    <row r="14" spans="2:20" ht="30" customHeight="1">
      <c r="B14" s="58">
        <v>3</v>
      </c>
      <c r="C14" s="120" t="s">
        <v>648</v>
      </c>
      <c r="D14" s="121"/>
      <c r="E14" s="121"/>
      <c r="F14" s="121"/>
      <c r="G14" s="121"/>
      <c r="H14" s="121"/>
      <c r="I14" s="121"/>
      <c r="J14" s="121"/>
      <c r="K14" s="122"/>
      <c r="L14" s="59"/>
      <c r="M14" s="53" t="s">
        <v>45</v>
      </c>
      <c r="N14" s="54"/>
      <c r="O14" s="54"/>
      <c r="P14" s="57"/>
    </row>
    <row r="15" spans="2:20" ht="30" customHeight="1">
      <c r="B15" s="37">
        <v>4</v>
      </c>
      <c r="C15" s="120" t="s">
        <v>649</v>
      </c>
      <c r="D15" s="121"/>
      <c r="E15" s="121"/>
      <c r="F15" s="121"/>
      <c r="G15" s="121"/>
      <c r="H15" s="121"/>
      <c r="I15" s="121"/>
      <c r="J15" s="121"/>
      <c r="K15" s="122"/>
      <c r="L15" s="59"/>
      <c r="M15" s="53" t="s">
        <v>45</v>
      </c>
      <c r="N15" s="54"/>
      <c r="O15" s="54"/>
      <c r="P15" s="57"/>
    </row>
    <row r="16" spans="2:20" ht="30" customHeight="1">
      <c r="B16" s="58">
        <v>5</v>
      </c>
      <c r="C16" s="120" t="s">
        <v>650</v>
      </c>
      <c r="D16" s="121"/>
      <c r="E16" s="121"/>
      <c r="F16" s="121"/>
      <c r="G16" s="121"/>
      <c r="H16" s="121"/>
      <c r="I16" s="121"/>
      <c r="J16" s="121"/>
      <c r="K16" s="122"/>
      <c r="L16" s="59"/>
      <c r="M16" s="53" t="s">
        <v>45</v>
      </c>
      <c r="N16" s="54"/>
      <c r="O16" s="54"/>
      <c r="P16" s="57"/>
    </row>
    <row r="17" spans="2:18" ht="30" customHeight="1">
      <c r="B17" s="58">
        <v>6</v>
      </c>
      <c r="C17" s="120" t="s">
        <v>651</v>
      </c>
      <c r="D17" s="121"/>
      <c r="E17" s="121"/>
      <c r="F17" s="121"/>
      <c r="G17" s="121"/>
      <c r="H17" s="121"/>
      <c r="I17" s="121"/>
      <c r="J17" s="121"/>
      <c r="K17" s="122"/>
      <c r="L17" s="59"/>
      <c r="M17" s="53" t="s">
        <v>45</v>
      </c>
      <c r="N17" s="54"/>
      <c r="O17" s="54"/>
      <c r="P17" s="57"/>
    </row>
    <row r="18" spans="2:18" ht="30" customHeight="1">
      <c r="B18" s="37">
        <v>7</v>
      </c>
      <c r="C18" s="120" t="s">
        <v>652</v>
      </c>
      <c r="D18" s="121"/>
      <c r="E18" s="121"/>
      <c r="F18" s="121"/>
      <c r="G18" s="121"/>
      <c r="H18" s="121"/>
      <c r="I18" s="121"/>
      <c r="J18" s="121"/>
      <c r="K18" s="122"/>
      <c r="L18" s="59"/>
      <c r="M18" s="53" t="s">
        <v>45</v>
      </c>
      <c r="N18" s="54"/>
      <c r="O18" s="54"/>
      <c r="P18" s="57"/>
    </row>
    <row r="19" spans="2:18" ht="30" customHeight="1">
      <c r="B19" s="58">
        <v>8</v>
      </c>
      <c r="C19" s="120" t="s">
        <v>653</v>
      </c>
      <c r="D19" s="121"/>
      <c r="E19" s="121"/>
      <c r="F19" s="121"/>
      <c r="G19" s="121"/>
      <c r="H19" s="121"/>
      <c r="I19" s="121"/>
      <c r="J19" s="121"/>
      <c r="K19" s="122"/>
      <c r="L19" s="59"/>
      <c r="M19" s="53" t="s">
        <v>45</v>
      </c>
      <c r="N19" s="54"/>
      <c r="O19" s="54"/>
      <c r="P19" s="57"/>
    </row>
    <row r="20" spans="2:18" ht="30" customHeight="1">
      <c r="B20" s="58">
        <v>9</v>
      </c>
      <c r="C20" s="120" t="s">
        <v>654</v>
      </c>
      <c r="D20" s="121"/>
      <c r="E20" s="121"/>
      <c r="F20" s="121"/>
      <c r="G20" s="121"/>
      <c r="H20" s="121"/>
      <c r="I20" s="121"/>
      <c r="J20" s="121"/>
      <c r="K20" s="122"/>
      <c r="L20" s="59"/>
      <c r="M20" s="53" t="s">
        <v>45</v>
      </c>
      <c r="N20" s="54"/>
      <c r="O20" s="54"/>
      <c r="P20" s="57"/>
    </row>
    <row r="21" spans="2:18" ht="30" customHeight="1">
      <c r="B21" s="37">
        <v>10</v>
      </c>
      <c r="C21" s="120" t="s">
        <v>655</v>
      </c>
      <c r="D21" s="121"/>
      <c r="E21" s="121"/>
      <c r="F21" s="121"/>
      <c r="G21" s="121"/>
      <c r="H21" s="121"/>
      <c r="I21" s="121"/>
      <c r="J21" s="121"/>
      <c r="K21" s="122"/>
      <c r="L21" s="59"/>
      <c r="M21" s="53" t="s">
        <v>45</v>
      </c>
      <c r="N21" s="54"/>
      <c r="O21" s="54"/>
      <c r="P21" s="57"/>
    </row>
    <row r="22" spans="2:18" ht="30" customHeight="1">
      <c r="B22" s="58">
        <v>11</v>
      </c>
      <c r="C22" s="120" t="s">
        <v>656</v>
      </c>
      <c r="D22" s="121"/>
      <c r="E22" s="121"/>
      <c r="F22" s="121"/>
      <c r="G22" s="121"/>
      <c r="H22" s="121"/>
      <c r="I22" s="121"/>
      <c r="J22" s="121"/>
      <c r="K22" s="122"/>
      <c r="L22" s="59"/>
      <c r="M22" s="53" t="s">
        <v>45</v>
      </c>
      <c r="N22" s="54"/>
      <c r="O22" s="54"/>
      <c r="P22" s="57"/>
    </row>
    <row r="23" spans="2:18" ht="30" customHeight="1">
      <c r="B23" s="58">
        <v>12</v>
      </c>
      <c r="C23" s="120" t="s">
        <v>678</v>
      </c>
      <c r="D23" s="121"/>
      <c r="E23" s="121"/>
      <c r="F23" s="121"/>
      <c r="G23" s="121"/>
      <c r="H23" s="121"/>
      <c r="I23" s="121"/>
      <c r="J23" s="121"/>
      <c r="K23" s="122"/>
      <c r="L23" s="59"/>
      <c r="M23" s="53" t="s">
        <v>45</v>
      </c>
      <c r="N23" s="54"/>
      <c r="O23" s="54"/>
      <c r="P23" s="57"/>
      <c r="R23" t="s">
        <v>299</v>
      </c>
    </row>
    <row r="24" spans="2:18" ht="30" customHeight="1">
      <c r="B24" s="37">
        <v>13</v>
      </c>
      <c r="C24" s="120" t="s">
        <v>658</v>
      </c>
      <c r="D24" s="121"/>
      <c r="E24" s="121"/>
      <c r="F24" s="121"/>
      <c r="G24" s="121"/>
      <c r="H24" s="121"/>
      <c r="I24" s="121"/>
      <c r="J24" s="121"/>
      <c r="K24" s="122"/>
      <c r="L24" s="59"/>
      <c r="M24" s="53" t="s">
        <v>45</v>
      </c>
      <c r="N24" s="54"/>
      <c r="O24" s="54"/>
      <c r="P24" s="57"/>
    </row>
    <row r="25" spans="2:18" ht="30" customHeight="1">
      <c r="B25" s="58">
        <v>14</v>
      </c>
      <c r="C25" s="120" t="s">
        <v>659</v>
      </c>
      <c r="D25" s="121"/>
      <c r="E25" s="121"/>
      <c r="F25" s="121"/>
      <c r="G25" s="121"/>
      <c r="H25" s="121"/>
      <c r="I25" s="121"/>
      <c r="J25" s="121"/>
      <c r="K25" s="122"/>
      <c r="L25" s="59"/>
      <c r="M25" s="53" t="s">
        <v>45</v>
      </c>
      <c r="N25" s="54"/>
      <c r="O25" s="54"/>
      <c r="P25" s="57"/>
    </row>
    <row r="26" spans="2:18" ht="30" customHeight="1">
      <c r="B26" s="58">
        <v>15</v>
      </c>
      <c r="C26" s="120" t="s">
        <v>660</v>
      </c>
      <c r="D26" s="121"/>
      <c r="E26" s="121"/>
      <c r="F26" s="121"/>
      <c r="G26" s="121"/>
      <c r="H26" s="121"/>
      <c r="I26" s="121"/>
      <c r="J26" s="121"/>
      <c r="K26" s="122"/>
      <c r="L26" s="59"/>
      <c r="M26" s="53" t="s">
        <v>45</v>
      </c>
      <c r="N26" s="54"/>
      <c r="O26" s="54"/>
      <c r="P26" s="57"/>
    </row>
    <row r="27" spans="2:18" ht="30" customHeight="1">
      <c r="B27" s="37">
        <v>16</v>
      </c>
      <c r="C27" s="120" t="s">
        <v>661</v>
      </c>
      <c r="D27" s="121"/>
      <c r="E27" s="121"/>
      <c r="F27" s="121"/>
      <c r="G27" s="121"/>
      <c r="H27" s="121"/>
      <c r="I27" s="121"/>
      <c r="J27" s="121"/>
      <c r="K27" s="122"/>
      <c r="L27" s="59"/>
      <c r="M27" s="53" t="s">
        <v>45</v>
      </c>
      <c r="N27" s="54"/>
      <c r="O27" s="54"/>
      <c r="P27" s="57"/>
    </row>
    <row r="28" spans="2:18" ht="30" customHeight="1">
      <c r="B28" s="58"/>
      <c r="C28" s="120" t="s">
        <v>662</v>
      </c>
      <c r="D28" s="121"/>
      <c r="E28" s="121"/>
      <c r="F28" s="121"/>
      <c r="G28" s="121"/>
      <c r="H28" s="121"/>
      <c r="I28" s="121"/>
      <c r="J28" s="121"/>
      <c r="K28" s="122"/>
      <c r="L28" s="59"/>
      <c r="M28" s="53" t="s">
        <v>45</v>
      </c>
      <c r="N28" s="54"/>
      <c r="O28" s="54"/>
      <c r="P28" s="57"/>
    </row>
    <row r="29" spans="2:18" ht="30" customHeight="1">
      <c r="B29" s="58"/>
      <c r="C29" s="120" t="s">
        <v>663</v>
      </c>
      <c r="D29" s="121"/>
      <c r="E29" s="121"/>
      <c r="F29" s="121"/>
      <c r="G29" s="121"/>
      <c r="H29" s="121"/>
      <c r="I29" s="121"/>
      <c r="J29" s="121"/>
      <c r="K29" s="122"/>
      <c r="L29" s="59"/>
      <c r="M29" s="53" t="s">
        <v>45</v>
      </c>
      <c r="N29" s="54"/>
      <c r="O29" s="54"/>
      <c r="P29" s="57"/>
    </row>
    <row r="30" spans="2:18" ht="30" customHeight="1">
      <c r="B30" s="58"/>
      <c r="C30" s="120"/>
      <c r="D30" s="121"/>
      <c r="E30" s="121"/>
      <c r="F30" s="121"/>
      <c r="G30" s="121"/>
      <c r="H30" s="121"/>
      <c r="I30" s="121"/>
      <c r="J30" s="121"/>
      <c r="K30" s="122"/>
      <c r="L30" s="59"/>
      <c r="M30" s="53"/>
      <c r="N30" s="54"/>
      <c r="O30" s="54"/>
      <c r="P30" s="57"/>
    </row>
    <row r="31" spans="2:18" ht="30" customHeight="1">
      <c r="B31" s="58">
        <v>18</v>
      </c>
      <c r="C31" s="120" t="s">
        <v>307</v>
      </c>
      <c r="D31" s="121"/>
      <c r="E31" s="121"/>
      <c r="F31" s="121"/>
      <c r="G31" s="121"/>
      <c r="H31" s="121"/>
      <c r="I31" s="121"/>
      <c r="J31" s="121"/>
      <c r="K31" s="122"/>
      <c r="L31" s="59"/>
      <c r="M31" s="53" t="s">
        <v>45</v>
      </c>
      <c r="N31" s="54"/>
      <c r="O31" s="54"/>
      <c r="P31" s="57"/>
    </row>
    <row r="32" spans="2:18" ht="30" customHeight="1">
      <c r="B32" s="37">
        <v>19</v>
      </c>
      <c r="C32" s="120" t="s">
        <v>308</v>
      </c>
      <c r="D32" s="121"/>
      <c r="E32" s="121"/>
      <c r="F32" s="121"/>
      <c r="G32" s="121"/>
      <c r="H32" s="121"/>
      <c r="I32" s="121"/>
      <c r="J32" s="121"/>
      <c r="K32" s="122"/>
      <c r="L32" s="40"/>
      <c r="M32" s="53" t="s">
        <v>45</v>
      </c>
      <c r="N32" s="54"/>
      <c r="O32" s="54"/>
      <c r="P32" s="55"/>
    </row>
    <row r="33" spans="2:18" ht="30" customHeight="1">
      <c r="B33" s="58">
        <v>20</v>
      </c>
      <c r="C33" s="120" t="s">
        <v>309</v>
      </c>
      <c r="D33" s="121"/>
      <c r="E33" s="121"/>
      <c r="F33" s="121"/>
      <c r="G33" s="121"/>
      <c r="H33" s="121"/>
      <c r="I33" s="121"/>
      <c r="J33" s="121"/>
      <c r="K33" s="122"/>
      <c r="M33" s="53" t="s">
        <v>45</v>
      </c>
      <c r="N33" s="54"/>
      <c r="O33" s="54"/>
      <c r="P33" s="55"/>
    </row>
    <row r="34" spans="2:18" ht="30" customHeight="1">
      <c r="B34" s="58">
        <v>21</v>
      </c>
      <c r="C34" s="120" t="s">
        <v>310</v>
      </c>
      <c r="D34" s="121"/>
      <c r="E34" s="121"/>
      <c r="F34" s="121"/>
      <c r="G34" s="121"/>
      <c r="H34" s="121"/>
      <c r="I34" s="121"/>
      <c r="J34" s="121"/>
      <c r="K34" s="122"/>
      <c r="M34" s="53" t="s">
        <v>45</v>
      </c>
      <c r="N34" s="54"/>
      <c r="O34" s="54"/>
      <c r="P34" s="55"/>
    </row>
    <row r="35" spans="2:18" ht="30" customHeight="1">
      <c r="B35" s="37">
        <v>22</v>
      </c>
      <c r="C35" s="120" t="s">
        <v>311</v>
      </c>
      <c r="D35" s="121"/>
      <c r="E35" s="121"/>
      <c r="F35" s="121"/>
      <c r="G35" s="121"/>
      <c r="H35" s="121"/>
      <c r="I35" s="121"/>
      <c r="J35" s="121"/>
      <c r="K35" s="122"/>
      <c r="M35" s="53" t="s">
        <v>45</v>
      </c>
      <c r="N35" s="54"/>
      <c r="O35" s="54"/>
      <c r="P35" s="55"/>
    </row>
    <row r="36" spans="2:18" ht="30" customHeight="1">
      <c r="B36" s="58">
        <v>23</v>
      </c>
      <c r="C36" s="120" t="s">
        <v>312</v>
      </c>
      <c r="D36" s="121"/>
      <c r="E36" s="121"/>
      <c r="F36" s="121"/>
      <c r="G36" s="121"/>
      <c r="H36" s="121"/>
      <c r="I36" s="121"/>
      <c r="J36" s="121"/>
      <c r="K36" s="122"/>
      <c r="M36" s="53" t="s">
        <v>45</v>
      </c>
      <c r="N36" s="54"/>
      <c r="O36" s="54"/>
      <c r="P36" s="55"/>
    </row>
    <row r="37" spans="2:18" ht="30" customHeight="1">
      <c r="B37" s="58">
        <v>24</v>
      </c>
      <c r="C37" s="120" t="s">
        <v>313</v>
      </c>
      <c r="D37" s="121"/>
      <c r="E37" s="121"/>
      <c r="F37" s="121"/>
      <c r="G37" s="121"/>
      <c r="H37" s="121"/>
      <c r="I37" s="121"/>
      <c r="J37" s="121"/>
      <c r="K37" s="122"/>
      <c r="M37" s="53" t="s">
        <v>45</v>
      </c>
      <c r="N37" s="54"/>
      <c r="O37" s="54"/>
      <c r="P37" s="55"/>
    </row>
    <row r="38" spans="2:18" ht="30" customHeight="1">
      <c r="B38" s="37">
        <v>25</v>
      </c>
      <c r="C38" s="120" t="s">
        <v>314</v>
      </c>
      <c r="D38" s="121"/>
      <c r="E38" s="121"/>
      <c r="F38" s="121"/>
      <c r="G38" s="121"/>
      <c r="H38" s="121"/>
      <c r="I38" s="121"/>
      <c r="J38" s="121"/>
      <c r="K38" s="122"/>
      <c r="M38" s="53" t="s">
        <v>45</v>
      </c>
      <c r="N38" s="54"/>
      <c r="O38" s="54"/>
      <c r="P38" s="55"/>
    </row>
    <row r="39" spans="2:18" ht="30" customHeight="1">
      <c r="B39" s="58">
        <v>26</v>
      </c>
      <c r="C39" s="120" t="s">
        <v>315</v>
      </c>
      <c r="D39" s="121"/>
      <c r="E39" s="121"/>
      <c r="F39" s="121"/>
      <c r="G39" s="121"/>
      <c r="H39" s="121"/>
      <c r="I39" s="121"/>
      <c r="J39" s="121"/>
      <c r="K39" s="122"/>
      <c r="M39" s="53" t="s">
        <v>45</v>
      </c>
      <c r="N39" s="54"/>
      <c r="O39" s="54"/>
      <c r="P39" s="55"/>
    </row>
    <row r="40" spans="2:18" ht="30" customHeight="1">
      <c r="B40" s="58">
        <v>27</v>
      </c>
      <c r="C40" s="120" t="s">
        <v>316</v>
      </c>
      <c r="D40" s="121"/>
      <c r="E40" s="121"/>
      <c r="F40" s="121"/>
      <c r="G40" s="121"/>
      <c r="H40" s="121"/>
      <c r="I40" s="121"/>
      <c r="J40" s="121"/>
      <c r="K40" s="122"/>
      <c r="M40" s="53" t="s">
        <v>45</v>
      </c>
      <c r="N40" s="54"/>
      <c r="O40" s="54"/>
      <c r="P40" s="55"/>
    </row>
    <row r="41" spans="2:18" ht="30" customHeight="1">
      <c r="B41" s="37">
        <v>28</v>
      </c>
      <c r="C41" s="120" t="s">
        <v>317</v>
      </c>
      <c r="D41" s="121"/>
      <c r="E41" s="121"/>
      <c r="F41" s="121"/>
      <c r="G41" s="121"/>
      <c r="H41" s="121"/>
      <c r="I41" s="121"/>
      <c r="J41" s="121"/>
      <c r="K41" s="122"/>
      <c r="M41" s="53" t="s">
        <v>45</v>
      </c>
      <c r="N41" s="54"/>
      <c r="O41" s="54"/>
      <c r="P41" s="55"/>
    </row>
    <row r="42" spans="2:18" ht="30" customHeight="1">
      <c r="B42" s="58">
        <v>29</v>
      </c>
      <c r="C42" s="120" t="s">
        <v>318</v>
      </c>
      <c r="D42" s="121"/>
      <c r="E42" s="121"/>
      <c r="F42" s="121"/>
      <c r="G42" s="121"/>
      <c r="H42" s="121"/>
      <c r="I42" s="121"/>
      <c r="J42" s="121"/>
      <c r="K42" s="122"/>
      <c r="M42" s="53"/>
      <c r="N42" s="54" t="s">
        <v>45</v>
      </c>
      <c r="O42" s="54"/>
      <c r="P42" s="55"/>
      <c r="R42" s="43" t="s">
        <v>319</v>
      </c>
    </row>
    <row r="43" spans="2:18" ht="30" customHeight="1">
      <c r="B43" s="58">
        <v>30</v>
      </c>
      <c r="C43" s="120" t="s">
        <v>320</v>
      </c>
      <c r="D43" s="121"/>
      <c r="E43" s="121"/>
      <c r="F43" s="121"/>
      <c r="G43" s="121"/>
      <c r="H43" s="121"/>
      <c r="I43" s="121"/>
      <c r="J43" s="121"/>
      <c r="K43" s="122"/>
      <c r="M43" s="53" t="s">
        <v>45</v>
      </c>
      <c r="N43" s="54"/>
      <c r="O43" s="54"/>
      <c r="P43" s="55"/>
    </row>
    <row r="44" spans="2:18" ht="30" customHeight="1">
      <c r="B44" s="37">
        <v>31</v>
      </c>
      <c r="C44" s="120" t="s">
        <v>321</v>
      </c>
      <c r="D44" s="121"/>
      <c r="E44" s="121"/>
      <c r="F44" s="121"/>
      <c r="G44" s="121"/>
      <c r="H44" s="121"/>
      <c r="I44" s="121"/>
      <c r="J44" s="121"/>
      <c r="K44" s="122"/>
      <c r="M44" s="53" t="s">
        <v>45</v>
      </c>
      <c r="N44" s="54"/>
      <c r="O44" s="54"/>
      <c r="P44" s="55"/>
    </row>
    <row r="45" spans="2:18" ht="30" customHeight="1">
      <c r="B45" s="58">
        <v>32</v>
      </c>
      <c r="C45" s="120" t="s">
        <v>322</v>
      </c>
      <c r="D45" s="121"/>
      <c r="E45" s="121"/>
      <c r="F45" s="121"/>
      <c r="G45" s="121"/>
      <c r="H45" s="121"/>
      <c r="I45" s="121"/>
      <c r="J45" s="121"/>
      <c r="K45" s="122"/>
      <c r="M45" s="53" t="s">
        <v>45</v>
      </c>
      <c r="N45" s="54"/>
      <c r="O45" s="54"/>
      <c r="P45" s="55"/>
    </row>
    <row r="46" spans="2:18" ht="30" customHeight="1">
      <c r="B46" s="58">
        <v>33</v>
      </c>
      <c r="C46" s="120"/>
      <c r="D46" s="121"/>
      <c r="E46" s="121"/>
      <c r="F46" s="121"/>
      <c r="G46" s="121"/>
      <c r="H46" s="121"/>
      <c r="I46" s="121"/>
      <c r="J46" s="121"/>
      <c r="K46" s="122"/>
      <c r="M46" s="53"/>
      <c r="N46" s="54"/>
      <c r="O46" s="54"/>
      <c r="P46" s="55"/>
    </row>
    <row r="47" spans="2:18" ht="30" customHeight="1">
      <c r="B47" s="37">
        <v>34</v>
      </c>
      <c r="C47" s="126" t="s">
        <v>599</v>
      </c>
      <c r="D47" s="121"/>
      <c r="E47" s="121"/>
      <c r="F47" s="121"/>
      <c r="G47" s="121"/>
      <c r="H47" s="121"/>
      <c r="I47" s="121"/>
      <c r="J47" s="121"/>
      <c r="K47" s="122"/>
      <c r="M47" s="62" t="s">
        <v>45</v>
      </c>
      <c r="N47" s="54"/>
      <c r="O47" s="54"/>
      <c r="P47" s="55"/>
    </row>
    <row r="48" spans="2:18" ht="30" customHeight="1">
      <c r="B48" s="58">
        <v>35</v>
      </c>
      <c r="C48" s="126" t="s">
        <v>598</v>
      </c>
      <c r="D48" s="121"/>
      <c r="E48" s="121"/>
      <c r="F48" s="121"/>
      <c r="G48" s="121"/>
      <c r="H48" s="121"/>
      <c r="I48" s="121"/>
      <c r="J48" s="121"/>
      <c r="K48" s="122"/>
      <c r="M48" s="62" t="s">
        <v>45</v>
      </c>
      <c r="N48" s="54"/>
      <c r="O48" s="54"/>
      <c r="P48" s="55"/>
    </row>
    <row r="49" spans="2:16" ht="30" customHeight="1">
      <c r="B49" s="58">
        <v>36</v>
      </c>
      <c r="C49" s="120"/>
      <c r="D49" s="121"/>
      <c r="E49" s="121"/>
      <c r="F49" s="121"/>
      <c r="G49" s="121"/>
      <c r="H49" s="121"/>
      <c r="I49" s="121"/>
      <c r="J49" s="121"/>
      <c r="K49" s="122"/>
      <c r="M49" s="53"/>
      <c r="N49" s="54"/>
      <c r="O49" s="54"/>
      <c r="P49" s="55"/>
    </row>
    <row r="50" spans="2:16" ht="30" customHeight="1">
      <c r="B50" s="37">
        <v>37</v>
      </c>
      <c r="C50" s="120"/>
      <c r="D50" s="121"/>
      <c r="E50" s="121"/>
      <c r="F50" s="121"/>
      <c r="G50" s="121"/>
      <c r="H50" s="121"/>
      <c r="I50" s="121"/>
      <c r="J50" s="121"/>
      <c r="K50" s="122"/>
      <c r="L50" s="38"/>
      <c r="M50" s="53"/>
      <c r="N50" s="54"/>
      <c r="O50" s="54"/>
      <c r="P50" s="55"/>
    </row>
    <row r="51" spans="2:16" ht="30" customHeight="1">
      <c r="B51" s="58">
        <v>38</v>
      </c>
      <c r="C51" s="120"/>
      <c r="D51" s="121"/>
      <c r="E51" s="121"/>
      <c r="F51" s="121"/>
      <c r="G51" s="121"/>
      <c r="H51" s="121"/>
      <c r="I51" s="121"/>
      <c r="J51" s="121"/>
      <c r="K51" s="122"/>
      <c r="L51" s="40"/>
      <c r="M51" s="53"/>
      <c r="N51" s="54"/>
      <c r="O51" s="54"/>
      <c r="P51" s="55"/>
    </row>
    <row r="52" spans="2:16" ht="14.25" customHeight="1"/>
    <row r="53" spans="2:16" ht="14.25" customHeight="1"/>
    <row r="54" spans="2:16" ht="14.25" customHeight="1">
      <c r="B54" s="31"/>
      <c r="C54" s="129" t="s">
        <v>323</v>
      </c>
      <c r="D54" s="130"/>
      <c r="E54" s="130"/>
      <c r="F54" s="130"/>
      <c r="G54" s="130"/>
      <c r="H54" s="130"/>
      <c r="I54" s="130"/>
      <c r="J54" s="131"/>
      <c r="K54" s="32"/>
    </row>
    <row r="55" spans="2:16" ht="14.25" customHeight="1"/>
    <row r="56" spans="2:16" ht="14.25" customHeight="1">
      <c r="B56" s="36"/>
      <c r="C56" s="132"/>
      <c r="D56" s="133"/>
      <c r="E56" s="134"/>
      <c r="F56" s="32"/>
      <c r="G56" s="32"/>
      <c r="H56" s="32"/>
      <c r="I56" s="32"/>
      <c r="J56" s="32"/>
      <c r="K56" s="32"/>
    </row>
    <row r="57" spans="2:16" ht="30" customHeight="1">
      <c r="B57" s="31">
        <v>2</v>
      </c>
      <c r="C57" s="120" t="s">
        <v>324</v>
      </c>
      <c r="D57" s="121"/>
      <c r="E57" s="121"/>
      <c r="F57" s="121"/>
      <c r="G57" s="121"/>
      <c r="H57" s="121"/>
      <c r="I57" s="121"/>
      <c r="J57" s="121"/>
      <c r="K57" s="122"/>
      <c r="L57" s="40"/>
      <c r="M57" s="53" t="s">
        <v>45</v>
      </c>
      <c r="N57" s="54"/>
      <c r="O57" s="54"/>
      <c r="P57" s="55"/>
    </row>
    <row r="58" spans="2:16" ht="30" customHeight="1">
      <c r="B58" s="37">
        <v>3</v>
      </c>
      <c r="C58" s="120" t="s">
        <v>325</v>
      </c>
      <c r="D58" s="121"/>
      <c r="E58" s="121"/>
      <c r="F58" s="121"/>
      <c r="G58" s="121"/>
      <c r="H58" s="121"/>
      <c r="I58" s="121"/>
      <c r="J58" s="121"/>
      <c r="K58" s="122"/>
      <c r="M58" s="53" t="s">
        <v>45</v>
      </c>
      <c r="N58" s="54"/>
      <c r="O58" s="54"/>
      <c r="P58" s="55"/>
    </row>
    <row r="59" spans="2:16" ht="30" customHeight="1">
      <c r="B59" s="37">
        <v>5</v>
      </c>
      <c r="C59" s="120" t="s">
        <v>326</v>
      </c>
      <c r="D59" s="121"/>
      <c r="E59" s="121"/>
      <c r="F59" s="121"/>
      <c r="G59" s="121"/>
      <c r="H59" s="121"/>
      <c r="I59" s="121"/>
      <c r="J59" s="121"/>
      <c r="K59" s="122"/>
      <c r="L59" s="38"/>
      <c r="M59" s="53" t="s">
        <v>45</v>
      </c>
      <c r="N59" s="54"/>
      <c r="O59" s="54"/>
      <c r="P59" s="55"/>
    </row>
    <row r="60" spans="2:16" ht="30" customHeight="1">
      <c r="B60" s="37">
        <v>6</v>
      </c>
      <c r="C60" s="120"/>
      <c r="D60" s="121"/>
      <c r="E60" s="121"/>
      <c r="F60" s="121"/>
      <c r="G60" s="121"/>
      <c r="H60" s="121"/>
      <c r="I60" s="121"/>
      <c r="J60" s="121"/>
      <c r="K60" s="122"/>
      <c r="L60" s="42"/>
      <c r="M60" s="53"/>
      <c r="N60" s="54"/>
      <c r="O60" s="54"/>
      <c r="P60" s="55"/>
    </row>
    <row r="61" spans="2:16" ht="30" customHeight="1">
      <c r="B61" s="31">
        <v>7</v>
      </c>
      <c r="C61" s="120"/>
      <c r="D61" s="121"/>
      <c r="E61" s="121"/>
      <c r="F61" s="121"/>
      <c r="G61" s="121"/>
      <c r="H61" s="121"/>
      <c r="I61" s="121"/>
      <c r="J61" s="121"/>
      <c r="K61" s="122"/>
      <c r="L61" s="42"/>
      <c r="M61" s="53"/>
      <c r="N61" s="54"/>
      <c r="O61" s="54"/>
      <c r="P61" s="55"/>
    </row>
    <row r="62" spans="2:16" ht="30" customHeight="1">
      <c r="B62" s="37">
        <v>8</v>
      </c>
      <c r="C62" s="120"/>
      <c r="D62" s="121"/>
      <c r="E62" s="121"/>
      <c r="F62" s="121"/>
      <c r="G62" s="121"/>
      <c r="H62" s="121"/>
      <c r="I62" s="121"/>
      <c r="J62" s="121"/>
      <c r="K62" s="122"/>
      <c r="L62" s="42"/>
      <c r="M62" s="53"/>
      <c r="N62" s="54"/>
      <c r="O62" s="54"/>
      <c r="P62" s="55"/>
    </row>
    <row r="63" spans="2:16" ht="30" customHeight="1">
      <c r="B63" s="37">
        <v>9</v>
      </c>
      <c r="C63" s="120"/>
      <c r="D63" s="121"/>
      <c r="E63" s="121"/>
      <c r="F63" s="121"/>
      <c r="G63" s="121"/>
      <c r="H63" s="121"/>
      <c r="I63" s="121"/>
      <c r="J63" s="121"/>
      <c r="K63" s="122"/>
      <c r="L63" s="42"/>
      <c r="M63" s="53"/>
      <c r="N63" s="54"/>
      <c r="O63" s="54"/>
      <c r="P63" s="55"/>
    </row>
    <row r="64" spans="2:16" ht="30" customHeight="1">
      <c r="B64" s="37">
        <v>10</v>
      </c>
      <c r="C64" s="120"/>
      <c r="D64" s="121"/>
      <c r="E64" s="121"/>
      <c r="F64" s="121"/>
      <c r="G64" s="121"/>
      <c r="H64" s="121"/>
      <c r="I64" s="121"/>
      <c r="J64" s="121"/>
      <c r="K64" s="122"/>
      <c r="L64" s="42"/>
      <c r="M64" s="53"/>
      <c r="N64" s="54"/>
      <c r="O64" s="54"/>
      <c r="P64" s="55"/>
    </row>
    <row r="65" spans="2:16" ht="30" customHeight="1">
      <c r="B65" s="37">
        <v>11</v>
      </c>
      <c r="C65" s="120"/>
      <c r="D65" s="121"/>
      <c r="E65" s="121"/>
      <c r="F65" s="121"/>
      <c r="G65" s="121"/>
      <c r="H65" s="121"/>
      <c r="I65" s="121"/>
      <c r="J65" s="121"/>
      <c r="K65" s="122"/>
      <c r="L65" s="42"/>
      <c r="M65" s="53"/>
      <c r="N65" s="54"/>
      <c r="O65" s="54"/>
      <c r="P65" s="55"/>
    </row>
    <row r="66" spans="2:16" ht="30" customHeight="1">
      <c r="B66" s="31">
        <v>12</v>
      </c>
      <c r="C66" s="120"/>
      <c r="D66" s="121"/>
      <c r="E66" s="121"/>
      <c r="F66" s="121"/>
      <c r="G66" s="121"/>
      <c r="H66" s="121"/>
      <c r="I66" s="121"/>
      <c r="J66" s="121"/>
      <c r="K66" s="122"/>
      <c r="L66" s="42"/>
      <c r="M66" s="53"/>
      <c r="N66" s="54"/>
      <c r="O66" s="54"/>
      <c r="P66" s="55"/>
    </row>
    <row r="67" spans="2:16" ht="30" customHeight="1">
      <c r="B67" s="37">
        <v>13</v>
      </c>
      <c r="C67" s="120"/>
      <c r="D67" s="121"/>
      <c r="E67" s="121"/>
      <c r="F67" s="121"/>
      <c r="G67" s="121"/>
      <c r="H67" s="121"/>
      <c r="I67" s="121"/>
      <c r="J67" s="121"/>
      <c r="K67" s="122"/>
      <c r="L67" s="40"/>
      <c r="M67" s="53"/>
      <c r="N67" s="54"/>
      <c r="O67" s="54"/>
      <c r="P67" s="55"/>
    </row>
    <row r="68" spans="2:16" ht="14.25" customHeight="1">
      <c r="B68" s="25"/>
    </row>
    <row r="69" spans="2:16" ht="14.25" customHeight="1">
      <c r="B69" s="25"/>
    </row>
    <row r="70" spans="2:16" ht="14.25" customHeight="1">
      <c r="B70" s="25"/>
    </row>
    <row r="71" spans="2:16" ht="14.25" customHeight="1">
      <c r="B71" s="25"/>
    </row>
    <row r="72" spans="2:16" ht="14.25" customHeight="1">
      <c r="B72" s="25"/>
    </row>
    <row r="73" spans="2:16" ht="14.25" customHeight="1">
      <c r="B73" s="25"/>
    </row>
    <row r="74" spans="2:16" ht="14.25" customHeight="1">
      <c r="B74" s="25"/>
    </row>
    <row r="75" spans="2:16" ht="14.25" customHeight="1">
      <c r="B75" s="25"/>
    </row>
    <row r="76" spans="2:16" ht="14.25" customHeight="1">
      <c r="B76" s="25"/>
    </row>
    <row r="77" spans="2:16" ht="14.25" customHeight="1">
      <c r="B77" s="25"/>
    </row>
    <row r="78" spans="2:16" ht="14.25" customHeight="1">
      <c r="B78" s="25"/>
    </row>
    <row r="79" spans="2:16" ht="14.25" customHeight="1">
      <c r="B79" s="25"/>
    </row>
    <row r="80" spans="2:16" ht="14.25" customHeight="1">
      <c r="B80" s="25"/>
    </row>
    <row r="81" spans="2:2" ht="14.25" customHeight="1">
      <c r="B81" s="25"/>
    </row>
    <row r="82" spans="2:2" ht="14.25" customHeight="1">
      <c r="B82" s="25"/>
    </row>
    <row r="83" spans="2:2" ht="14.25" customHeight="1">
      <c r="B83" s="25"/>
    </row>
    <row r="84" spans="2:2" ht="14.25" customHeight="1">
      <c r="B84" s="25"/>
    </row>
    <row r="85" spans="2:2" ht="14.25" customHeight="1">
      <c r="B85" s="25"/>
    </row>
    <row r="86" spans="2:2" ht="14.25" customHeight="1">
      <c r="B86" s="25"/>
    </row>
    <row r="87" spans="2:2" ht="14.25" customHeight="1">
      <c r="B87" s="25"/>
    </row>
    <row r="88" spans="2:2" ht="14.25" customHeight="1">
      <c r="B88" s="25"/>
    </row>
    <row r="89" spans="2:2" ht="14.25" customHeight="1">
      <c r="B89" s="25"/>
    </row>
    <row r="90" spans="2:2" ht="14.25" customHeight="1">
      <c r="B90" s="25"/>
    </row>
    <row r="91" spans="2:2" ht="14.25" customHeight="1">
      <c r="B91" s="25"/>
    </row>
    <row r="92" spans="2:2" ht="14.25" customHeight="1">
      <c r="B92" s="25"/>
    </row>
    <row r="93" spans="2:2" ht="14.25" customHeight="1">
      <c r="B93" s="25"/>
    </row>
    <row r="94" spans="2:2" ht="14.25" customHeight="1">
      <c r="B94" s="25"/>
    </row>
    <row r="95" spans="2:2" ht="14.25" customHeight="1">
      <c r="B95" s="25"/>
    </row>
    <row r="96" spans="2:2" ht="14.25" customHeight="1">
      <c r="B96" s="25"/>
    </row>
    <row r="97" spans="2:2" ht="14.25" customHeight="1">
      <c r="B97" s="25"/>
    </row>
    <row r="98" spans="2:2" ht="14.25" customHeight="1">
      <c r="B98" s="25"/>
    </row>
    <row r="99" spans="2:2" ht="14.25" customHeight="1">
      <c r="B99" s="25"/>
    </row>
    <row r="100" spans="2:2" ht="14.25" customHeight="1">
      <c r="B100" s="25"/>
    </row>
    <row r="101" spans="2:2" ht="14.25" customHeight="1">
      <c r="B101" s="25"/>
    </row>
    <row r="102" spans="2:2" ht="14.25" customHeight="1">
      <c r="B102" s="25"/>
    </row>
    <row r="103" spans="2:2" ht="14.25" customHeight="1">
      <c r="B103" s="25"/>
    </row>
    <row r="104" spans="2:2" ht="14.25" customHeight="1">
      <c r="B104" s="25"/>
    </row>
    <row r="105" spans="2:2" ht="14.25" customHeight="1">
      <c r="B105" s="25"/>
    </row>
    <row r="106" spans="2:2" ht="14.25" customHeight="1">
      <c r="B106" s="25"/>
    </row>
    <row r="107" spans="2:2" ht="14.25" customHeight="1">
      <c r="B107" s="25"/>
    </row>
    <row r="108" spans="2:2" ht="14.25" customHeight="1">
      <c r="B108" s="25"/>
    </row>
    <row r="109" spans="2:2" ht="14.25" customHeight="1">
      <c r="B109" s="25"/>
    </row>
    <row r="110" spans="2:2" ht="14.25" customHeight="1">
      <c r="B110" s="25"/>
    </row>
    <row r="111" spans="2:2" ht="14.25" customHeight="1">
      <c r="B111" s="25"/>
    </row>
    <row r="112" spans="2:2" ht="14.25" customHeight="1">
      <c r="B112" s="25"/>
    </row>
    <row r="113" spans="2:2" ht="14.25" customHeight="1">
      <c r="B113" s="25"/>
    </row>
    <row r="114" spans="2:2" ht="14.25" customHeight="1">
      <c r="B114" s="25"/>
    </row>
    <row r="115" spans="2:2" ht="14.25" customHeight="1">
      <c r="B115" s="25"/>
    </row>
    <row r="116" spans="2:2" ht="14.25" customHeight="1">
      <c r="B116" s="25"/>
    </row>
    <row r="117" spans="2:2" ht="14.25" customHeight="1">
      <c r="B117" s="25"/>
    </row>
    <row r="118" spans="2:2" ht="14.25" customHeight="1">
      <c r="B118" s="25"/>
    </row>
    <row r="119" spans="2:2" ht="14.25" customHeight="1">
      <c r="B119" s="25"/>
    </row>
    <row r="120" spans="2:2" ht="14.25" customHeight="1">
      <c r="B120" s="25"/>
    </row>
    <row r="121" spans="2:2" ht="14.25" customHeight="1">
      <c r="B121" s="25"/>
    </row>
    <row r="122" spans="2:2" ht="14.25" customHeight="1">
      <c r="B122" s="25"/>
    </row>
    <row r="123" spans="2:2" ht="14.25" customHeight="1">
      <c r="B123" s="25"/>
    </row>
    <row r="124" spans="2:2" ht="14.25" customHeight="1">
      <c r="B124" s="25"/>
    </row>
    <row r="125" spans="2:2" ht="14.25" customHeight="1">
      <c r="B125" s="25"/>
    </row>
    <row r="126" spans="2:2" ht="14.25" customHeight="1">
      <c r="B126" s="25"/>
    </row>
    <row r="127" spans="2:2" ht="14.25" customHeight="1">
      <c r="B127" s="25"/>
    </row>
    <row r="128" spans="2:2" ht="14.25" customHeight="1">
      <c r="B128" s="25"/>
    </row>
    <row r="129" spans="2:2" ht="14.25" customHeight="1">
      <c r="B129" s="25"/>
    </row>
    <row r="130" spans="2:2" ht="14.25" customHeight="1">
      <c r="B130" s="25"/>
    </row>
    <row r="131" spans="2:2" ht="14.25" customHeight="1">
      <c r="B131" s="25"/>
    </row>
    <row r="132" spans="2:2" ht="14.25" customHeight="1">
      <c r="B132" s="25"/>
    </row>
    <row r="133" spans="2:2" ht="14.25" customHeight="1">
      <c r="B133" s="25"/>
    </row>
    <row r="134" spans="2:2" ht="14.25" customHeight="1">
      <c r="B134" s="25"/>
    </row>
    <row r="135" spans="2:2" ht="14.25" customHeight="1">
      <c r="B135" s="25"/>
    </row>
    <row r="136" spans="2:2" ht="14.25" customHeight="1">
      <c r="B136" s="25"/>
    </row>
    <row r="137" spans="2:2" ht="14.25" customHeight="1">
      <c r="B137" s="25"/>
    </row>
    <row r="138" spans="2:2" ht="14.25" customHeight="1">
      <c r="B138" s="25"/>
    </row>
    <row r="139" spans="2:2" ht="14.25" customHeight="1">
      <c r="B139" s="25"/>
    </row>
    <row r="140" spans="2:2" ht="14.25" customHeight="1">
      <c r="B140" s="25"/>
    </row>
    <row r="141" spans="2:2" ht="14.25" customHeight="1">
      <c r="B141" s="25"/>
    </row>
    <row r="142" spans="2:2" ht="14.25" customHeight="1">
      <c r="B142" s="25"/>
    </row>
    <row r="143" spans="2:2" ht="14.25" customHeight="1">
      <c r="B143" s="25"/>
    </row>
    <row r="144" spans="2:2" ht="14.25" customHeight="1">
      <c r="B144" s="25"/>
    </row>
    <row r="145" spans="2:2" ht="14.25" customHeight="1">
      <c r="B145" s="25"/>
    </row>
    <row r="146" spans="2:2" ht="14.25" customHeight="1">
      <c r="B146" s="25"/>
    </row>
    <row r="147" spans="2:2" ht="14.25" customHeight="1">
      <c r="B147" s="25"/>
    </row>
    <row r="148" spans="2:2" ht="14.25" customHeight="1">
      <c r="B148" s="25"/>
    </row>
    <row r="149" spans="2:2" ht="14.25" customHeight="1">
      <c r="B149" s="25"/>
    </row>
    <row r="150" spans="2:2" ht="14.25" customHeight="1">
      <c r="B150" s="25"/>
    </row>
    <row r="151" spans="2:2" ht="14.25" customHeight="1">
      <c r="B151" s="25"/>
    </row>
    <row r="152" spans="2:2" ht="14.25" customHeight="1">
      <c r="B152" s="25"/>
    </row>
    <row r="153" spans="2:2" ht="14.25" customHeight="1">
      <c r="B153" s="25"/>
    </row>
    <row r="154" spans="2:2" ht="14.25" customHeight="1">
      <c r="B154" s="25"/>
    </row>
    <row r="155" spans="2:2" ht="14.25" customHeight="1">
      <c r="B155" s="25"/>
    </row>
    <row r="156" spans="2:2" ht="14.25" customHeight="1">
      <c r="B156" s="25"/>
    </row>
    <row r="157" spans="2:2" ht="14.25" customHeight="1">
      <c r="B157" s="25"/>
    </row>
    <row r="158" spans="2:2" ht="14.25" customHeight="1">
      <c r="B158" s="25"/>
    </row>
    <row r="159" spans="2:2" ht="14.25" customHeight="1">
      <c r="B159" s="25"/>
    </row>
    <row r="160" spans="2:2" ht="14.25" customHeight="1">
      <c r="B160" s="25"/>
    </row>
    <row r="161" spans="2:2" ht="14.25" customHeight="1">
      <c r="B161" s="25"/>
    </row>
    <row r="162" spans="2:2" ht="14.25" customHeight="1">
      <c r="B162" s="25"/>
    </row>
    <row r="163" spans="2:2" ht="14.25" customHeight="1">
      <c r="B163" s="25"/>
    </row>
    <row r="164" spans="2:2" ht="14.25" customHeight="1">
      <c r="B164" s="25"/>
    </row>
    <row r="165" spans="2:2" ht="14.25" customHeight="1">
      <c r="B165" s="25"/>
    </row>
    <row r="166" spans="2:2" ht="14.25" customHeight="1">
      <c r="B166" s="25"/>
    </row>
    <row r="167" spans="2:2" ht="14.25" customHeight="1">
      <c r="B167" s="25"/>
    </row>
    <row r="168" spans="2:2" ht="14.25" customHeight="1">
      <c r="B168" s="25"/>
    </row>
    <row r="169" spans="2:2" ht="14.25" customHeight="1">
      <c r="B169" s="25"/>
    </row>
    <row r="170" spans="2:2" ht="14.25" customHeight="1">
      <c r="B170" s="25"/>
    </row>
    <row r="171" spans="2:2" ht="14.25" customHeight="1">
      <c r="B171" s="25"/>
    </row>
    <row r="172" spans="2:2" ht="14.25" customHeight="1">
      <c r="B172" s="25"/>
    </row>
    <row r="173" spans="2:2" ht="14.25" customHeight="1">
      <c r="B173" s="25"/>
    </row>
    <row r="174" spans="2:2" ht="14.25" customHeight="1">
      <c r="B174" s="25"/>
    </row>
    <row r="175" spans="2:2" ht="14.25" customHeight="1">
      <c r="B175" s="25"/>
    </row>
    <row r="176" spans="2:2" ht="14.25" customHeight="1">
      <c r="B176" s="25"/>
    </row>
    <row r="177" spans="2:2" ht="14.25" customHeight="1">
      <c r="B177" s="25"/>
    </row>
    <row r="178" spans="2:2" ht="14.25" customHeight="1">
      <c r="B178" s="25"/>
    </row>
    <row r="179" spans="2:2" ht="14.25" customHeight="1">
      <c r="B179" s="25"/>
    </row>
    <row r="180" spans="2:2" ht="14.25" customHeight="1">
      <c r="B180" s="25"/>
    </row>
    <row r="181" spans="2:2" ht="14.25" customHeight="1">
      <c r="B181" s="25"/>
    </row>
    <row r="182" spans="2:2" ht="14.25" customHeight="1">
      <c r="B182" s="25"/>
    </row>
    <row r="183" spans="2:2" ht="14.25" customHeight="1">
      <c r="B183" s="25"/>
    </row>
    <row r="184" spans="2:2" ht="14.25" customHeight="1">
      <c r="B184" s="25"/>
    </row>
    <row r="185" spans="2:2" ht="14.25" customHeight="1">
      <c r="B185" s="25"/>
    </row>
    <row r="186" spans="2:2" ht="14.25" customHeight="1">
      <c r="B186" s="25"/>
    </row>
    <row r="187" spans="2:2" ht="14.25" customHeight="1">
      <c r="B187" s="25"/>
    </row>
    <row r="188" spans="2:2" ht="14.25" customHeight="1">
      <c r="B188" s="25"/>
    </row>
    <row r="189" spans="2:2" ht="14.25" customHeight="1">
      <c r="B189" s="25"/>
    </row>
    <row r="190" spans="2:2" ht="14.25" customHeight="1">
      <c r="B190" s="25"/>
    </row>
    <row r="191" spans="2:2" ht="14.25" customHeight="1">
      <c r="B191" s="25"/>
    </row>
    <row r="192" spans="2:2" ht="14.25" customHeight="1">
      <c r="B192" s="25"/>
    </row>
    <row r="193" spans="2:2" ht="14.25" customHeight="1">
      <c r="B193" s="25"/>
    </row>
    <row r="194" spans="2:2" ht="14.25" customHeight="1">
      <c r="B194" s="25"/>
    </row>
    <row r="195" spans="2:2" ht="14.25" customHeight="1">
      <c r="B195" s="25"/>
    </row>
    <row r="196" spans="2:2" ht="14.25" customHeight="1">
      <c r="B196" s="25"/>
    </row>
    <row r="197" spans="2:2" ht="14.25" customHeight="1">
      <c r="B197" s="25"/>
    </row>
    <row r="198" spans="2:2" ht="14.25" customHeight="1">
      <c r="B198" s="25"/>
    </row>
    <row r="199" spans="2:2" ht="14.25" customHeight="1">
      <c r="B199" s="25"/>
    </row>
    <row r="200" spans="2:2" ht="14.25" customHeight="1">
      <c r="B200" s="25"/>
    </row>
    <row r="201" spans="2:2" ht="14.25" customHeight="1">
      <c r="B201" s="25"/>
    </row>
    <row r="202" spans="2:2" ht="14.25" customHeight="1">
      <c r="B202" s="25"/>
    </row>
    <row r="203" spans="2:2" ht="14.25" customHeight="1">
      <c r="B203" s="25"/>
    </row>
    <row r="204" spans="2:2" ht="14.25" customHeight="1">
      <c r="B204" s="25"/>
    </row>
    <row r="205" spans="2:2" ht="14.25" customHeight="1">
      <c r="B205" s="25"/>
    </row>
    <row r="206" spans="2:2" ht="14.25" customHeight="1">
      <c r="B206" s="25"/>
    </row>
    <row r="207" spans="2:2" ht="14.25" customHeight="1">
      <c r="B207" s="25"/>
    </row>
    <row r="208" spans="2:2" ht="14.25" customHeight="1">
      <c r="B208" s="25"/>
    </row>
    <row r="209" spans="2:2" ht="14.25" customHeight="1">
      <c r="B209" s="25"/>
    </row>
    <row r="210" spans="2:2" ht="14.25" customHeight="1">
      <c r="B210" s="25"/>
    </row>
    <row r="211" spans="2:2" ht="14.25" customHeight="1">
      <c r="B211" s="25"/>
    </row>
    <row r="212" spans="2:2" ht="14.25" customHeight="1">
      <c r="B212" s="25"/>
    </row>
    <row r="213" spans="2:2" ht="14.25" customHeight="1">
      <c r="B213" s="25"/>
    </row>
    <row r="214" spans="2:2" ht="14.25" customHeight="1">
      <c r="B214" s="25"/>
    </row>
    <row r="215" spans="2:2" ht="14.25" customHeight="1">
      <c r="B215" s="25"/>
    </row>
    <row r="216" spans="2:2" ht="14.25" customHeight="1">
      <c r="B216" s="25"/>
    </row>
    <row r="217" spans="2:2" ht="14.25" customHeight="1">
      <c r="B217" s="25"/>
    </row>
    <row r="218" spans="2:2" ht="14.25" customHeight="1">
      <c r="B218" s="25"/>
    </row>
    <row r="219" spans="2:2" ht="14.25" customHeight="1">
      <c r="B219" s="25"/>
    </row>
    <row r="220" spans="2:2" ht="14.25" customHeight="1">
      <c r="B220" s="25"/>
    </row>
    <row r="221" spans="2:2" ht="14.25" customHeight="1">
      <c r="B221" s="25"/>
    </row>
    <row r="222" spans="2:2" ht="14.25" customHeight="1">
      <c r="B222" s="25"/>
    </row>
    <row r="223" spans="2:2" ht="14.25" customHeight="1">
      <c r="B223" s="25"/>
    </row>
    <row r="224" spans="2:2" ht="14.25" customHeight="1">
      <c r="B224" s="25"/>
    </row>
    <row r="225" spans="2:2" ht="14.25" customHeight="1">
      <c r="B225" s="25"/>
    </row>
    <row r="226" spans="2:2" ht="14.25" customHeight="1">
      <c r="B226" s="25"/>
    </row>
    <row r="227" spans="2:2" ht="14.25" customHeight="1">
      <c r="B227" s="25"/>
    </row>
    <row r="228" spans="2:2" ht="14.25" customHeight="1">
      <c r="B228" s="25"/>
    </row>
    <row r="229" spans="2:2" ht="14.25" customHeight="1">
      <c r="B229" s="25"/>
    </row>
    <row r="230" spans="2:2" ht="14.25" customHeight="1">
      <c r="B230" s="25"/>
    </row>
    <row r="231" spans="2:2" ht="14.25" customHeight="1">
      <c r="B231" s="25"/>
    </row>
    <row r="232" spans="2:2" ht="14.25" customHeight="1">
      <c r="B232" s="25"/>
    </row>
    <row r="233" spans="2:2" ht="14.25" customHeight="1">
      <c r="B233" s="25"/>
    </row>
    <row r="234" spans="2:2" ht="14.25" customHeight="1">
      <c r="B234" s="25"/>
    </row>
    <row r="235" spans="2:2" ht="14.25" customHeight="1">
      <c r="B235" s="25"/>
    </row>
    <row r="236" spans="2:2" ht="14.25" customHeight="1">
      <c r="B236" s="25"/>
    </row>
    <row r="237" spans="2:2" ht="14.25" customHeight="1">
      <c r="B237" s="25"/>
    </row>
    <row r="238" spans="2:2" ht="14.25" customHeight="1">
      <c r="B238" s="25"/>
    </row>
    <row r="239" spans="2:2" ht="14.25" customHeight="1">
      <c r="B239" s="25"/>
    </row>
    <row r="240" spans="2:2" ht="14.25" customHeight="1">
      <c r="B240" s="25"/>
    </row>
    <row r="241" spans="2:2" ht="14.25" customHeight="1">
      <c r="B241" s="25"/>
    </row>
    <row r="242" spans="2:2" ht="14.25" customHeight="1">
      <c r="B242" s="25"/>
    </row>
    <row r="243" spans="2:2" ht="14.25" customHeight="1">
      <c r="B243" s="25"/>
    </row>
    <row r="244" spans="2:2" ht="14.25" customHeight="1">
      <c r="B244" s="25"/>
    </row>
    <row r="245" spans="2:2" ht="14.25" customHeight="1">
      <c r="B245" s="25"/>
    </row>
    <row r="246" spans="2:2" ht="14.25" customHeight="1">
      <c r="B246" s="25"/>
    </row>
    <row r="247" spans="2:2" ht="14.25" customHeight="1">
      <c r="B247" s="25"/>
    </row>
    <row r="248" spans="2:2" ht="14.25" customHeight="1">
      <c r="B248" s="25"/>
    </row>
    <row r="249" spans="2:2" ht="14.25" customHeight="1">
      <c r="B249" s="25"/>
    </row>
    <row r="250" spans="2:2" ht="14.25" customHeight="1">
      <c r="B250" s="25"/>
    </row>
    <row r="251" spans="2:2" ht="14.25" customHeight="1">
      <c r="B251" s="25"/>
    </row>
    <row r="252" spans="2:2" ht="14.25" customHeight="1">
      <c r="B252" s="25"/>
    </row>
    <row r="253" spans="2:2" ht="14.25" customHeight="1">
      <c r="B253" s="25"/>
    </row>
    <row r="254" spans="2:2" ht="14.25" customHeight="1">
      <c r="B254" s="25"/>
    </row>
    <row r="255" spans="2:2" ht="14.25" customHeight="1">
      <c r="B255" s="25"/>
    </row>
    <row r="256" spans="2:2" ht="14.25" customHeight="1">
      <c r="B256" s="25"/>
    </row>
    <row r="257" spans="2:2" ht="14.25" customHeight="1">
      <c r="B257" s="25"/>
    </row>
    <row r="258" spans="2:2" ht="14.25" customHeight="1">
      <c r="B258" s="25"/>
    </row>
    <row r="259" spans="2:2" ht="14.25" customHeight="1">
      <c r="B259" s="25"/>
    </row>
    <row r="260" spans="2:2" ht="14.25" customHeight="1">
      <c r="B260" s="25"/>
    </row>
    <row r="261" spans="2:2" ht="14.25" customHeight="1">
      <c r="B261" s="25"/>
    </row>
    <row r="262" spans="2:2" ht="14.25" customHeight="1">
      <c r="B262" s="25"/>
    </row>
    <row r="263" spans="2:2" ht="14.25" customHeight="1">
      <c r="B263" s="25"/>
    </row>
    <row r="264" spans="2:2" ht="14.25" customHeight="1">
      <c r="B264" s="25"/>
    </row>
    <row r="265" spans="2:2" ht="14.25" customHeight="1">
      <c r="B265" s="25"/>
    </row>
    <row r="266" spans="2:2" ht="14.25" customHeight="1">
      <c r="B266" s="25"/>
    </row>
    <row r="267" spans="2:2" ht="14.25" customHeight="1">
      <c r="B267" s="25"/>
    </row>
    <row r="268" spans="2:2" ht="14.25" customHeight="1">
      <c r="B268" s="25"/>
    </row>
    <row r="269" spans="2:2" ht="14.25" customHeight="1">
      <c r="B269" s="25"/>
    </row>
    <row r="270" spans="2:2" ht="14.25" customHeight="1">
      <c r="B270" s="25"/>
    </row>
    <row r="271" spans="2:2" ht="14.25" customHeight="1">
      <c r="B271" s="25"/>
    </row>
    <row r="272" spans="2:2" ht="14.25" customHeight="1">
      <c r="B272" s="25"/>
    </row>
    <row r="273" spans="2:2" ht="14.25" customHeight="1">
      <c r="B273" s="25"/>
    </row>
    <row r="274" spans="2:2" ht="14.25" customHeight="1">
      <c r="B274" s="25"/>
    </row>
    <row r="275" spans="2:2" ht="14.25" customHeight="1">
      <c r="B275" s="25"/>
    </row>
    <row r="276" spans="2:2" ht="14.25" customHeight="1">
      <c r="B276" s="25"/>
    </row>
    <row r="277" spans="2:2" ht="14.25" customHeight="1">
      <c r="B277" s="25"/>
    </row>
    <row r="278" spans="2:2" ht="14.25" customHeight="1">
      <c r="B278" s="25"/>
    </row>
    <row r="279" spans="2:2" ht="14.25" customHeight="1">
      <c r="B279" s="25"/>
    </row>
    <row r="280" spans="2:2" ht="14.25" customHeight="1">
      <c r="B280" s="25"/>
    </row>
    <row r="281" spans="2:2" ht="14.25" customHeight="1">
      <c r="B281" s="25"/>
    </row>
    <row r="282" spans="2:2" ht="14.25" customHeight="1">
      <c r="B282" s="25"/>
    </row>
    <row r="283" spans="2:2" ht="14.25" customHeight="1">
      <c r="B283" s="25"/>
    </row>
    <row r="284" spans="2:2" ht="14.25" customHeight="1">
      <c r="B284" s="25"/>
    </row>
    <row r="285" spans="2:2" ht="14.25" customHeight="1">
      <c r="B285" s="25"/>
    </row>
    <row r="286" spans="2:2" ht="14.25" customHeight="1">
      <c r="B286" s="25"/>
    </row>
    <row r="287" spans="2:2" ht="14.25" customHeight="1">
      <c r="B287" s="25"/>
    </row>
    <row r="288" spans="2:2" ht="14.25" customHeight="1">
      <c r="B288" s="25"/>
    </row>
    <row r="289" spans="2:2" ht="14.25" customHeight="1">
      <c r="B289" s="25"/>
    </row>
    <row r="290" spans="2:2" ht="14.25" customHeight="1">
      <c r="B290" s="25"/>
    </row>
    <row r="291" spans="2:2" ht="14.25" customHeight="1">
      <c r="B291" s="25"/>
    </row>
    <row r="292" spans="2:2" ht="14.25" customHeight="1">
      <c r="B292" s="25"/>
    </row>
    <row r="293" spans="2:2" ht="14.25" customHeight="1">
      <c r="B293" s="25"/>
    </row>
    <row r="294" spans="2:2" ht="14.25" customHeight="1">
      <c r="B294" s="25"/>
    </row>
    <row r="295" spans="2:2" ht="14.25" customHeight="1">
      <c r="B295" s="25"/>
    </row>
    <row r="296" spans="2:2" ht="14.25" customHeight="1">
      <c r="B296" s="25"/>
    </row>
    <row r="297" spans="2:2" ht="14.25" customHeight="1">
      <c r="B297" s="25"/>
    </row>
    <row r="298" spans="2:2" ht="14.25" customHeight="1">
      <c r="B298" s="25"/>
    </row>
    <row r="299" spans="2:2" ht="14.25" customHeight="1">
      <c r="B299" s="25"/>
    </row>
    <row r="300" spans="2:2" ht="14.25" customHeight="1">
      <c r="B300" s="25"/>
    </row>
    <row r="301" spans="2:2" ht="14.25" customHeight="1">
      <c r="B301" s="25"/>
    </row>
    <row r="302" spans="2:2" ht="14.25" customHeight="1">
      <c r="B302" s="25"/>
    </row>
    <row r="303" spans="2:2" ht="14.25" customHeight="1">
      <c r="B303" s="25"/>
    </row>
    <row r="304" spans="2:2" ht="14.25" customHeight="1">
      <c r="B304" s="25"/>
    </row>
    <row r="305" spans="2:2" ht="14.25" customHeight="1">
      <c r="B305" s="25"/>
    </row>
    <row r="306" spans="2:2" ht="14.25" customHeight="1">
      <c r="B306" s="25"/>
    </row>
    <row r="307" spans="2:2" ht="14.25" customHeight="1">
      <c r="B307" s="25"/>
    </row>
    <row r="308" spans="2:2" ht="14.25" customHeight="1">
      <c r="B308" s="25"/>
    </row>
    <row r="309" spans="2:2" ht="14.25" customHeight="1">
      <c r="B309" s="25"/>
    </row>
    <row r="310" spans="2:2" ht="14.25" customHeight="1">
      <c r="B310" s="25"/>
    </row>
    <row r="311" spans="2:2" ht="14.25" customHeight="1">
      <c r="B311" s="25"/>
    </row>
    <row r="312" spans="2:2" ht="14.25" customHeight="1">
      <c r="B312" s="25"/>
    </row>
    <row r="313" spans="2:2" ht="14.25" customHeight="1">
      <c r="B313" s="25"/>
    </row>
    <row r="314" spans="2:2" ht="14.25" customHeight="1">
      <c r="B314" s="25"/>
    </row>
    <row r="315" spans="2:2" ht="14.25" customHeight="1">
      <c r="B315" s="25"/>
    </row>
    <row r="316" spans="2:2" ht="14.25" customHeight="1">
      <c r="B316" s="25"/>
    </row>
    <row r="317" spans="2:2" ht="14.25" customHeight="1">
      <c r="B317" s="25"/>
    </row>
    <row r="318" spans="2:2" ht="14.25" customHeight="1">
      <c r="B318" s="25"/>
    </row>
    <row r="319" spans="2:2" ht="14.25" customHeight="1">
      <c r="B319" s="25"/>
    </row>
    <row r="320" spans="2:2" ht="14.25" customHeight="1">
      <c r="B320" s="25"/>
    </row>
    <row r="321" spans="2:2" ht="14.25" customHeight="1">
      <c r="B321" s="25"/>
    </row>
    <row r="322" spans="2:2" ht="14.25" customHeight="1">
      <c r="B322" s="25"/>
    </row>
    <row r="323" spans="2:2" ht="14.25" customHeight="1">
      <c r="B323" s="25"/>
    </row>
    <row r="324" spans="2:2" ht="14.25" customHeight="1">
      <c r="B324" s="25"/>
    </row>
    <row r="325" spans="2:2" ht="14.25" customHeight="1">
      <c r="B325" s="25"/>
    </row>
    <row r="326" spans="2:2" ht="14.25" customHeight="1">
      <c r="B326" s="25"/>
    </row>
    <row r="327" spans="2:2" ht="14.25" customHeight="1">
      <c r="B327" s="25"/>
    </row>
    <row r="328" spans="2:2" ht="14.25" customHeight="1">
      <c r="B328" s="25"/>
    </row>
    <row r="329" spans="2:2" ht="14.25" customHeight="1">
      <c r="B329" s="25"/>
    </row>
    <row r="330" spans="2:2" ht="14.25" customHeight="1">
      <c r="B330" s="25"/>
    </row>
    <row r="331" spans="2:2" ht="14.25" customHeight="1">
      <c r="B331" s="25"/>
    </row>
    <row r="332" spans="2:2" ht="14.25" customHeight="1">
      <c r="B332" s="25"/>
    </row>
    <row r="333" spans="2:2" ht="14.25" customHeight="1">
      <c r="B333" s="25"/>
    </row>
    <row r="334" spans="2:2" ht="14.25" customHeight="1">
      <c r="B334" s="25"/>
    </row>
    <row r="335" spans="2:2" ht="14.25" customHeight="1">
      <c r="B335" s="25"/>
    </row>
    <row r="336" spans="2:2" ht="14.25" customHeight="1">
      <c r="B336" s="25"/>
    </row>
    <row r="337" spans="2:2" ht="14.25" customHeight="1">
      <c r="B337" s="25"/>
    </row>
    <row r="338" spans="2:2" ht="14.25" customHeight="1">
      <c r="B338" s="25"/>
    </row>
    <row r="339" spans="2:2" ht="14.25" customHeight="1">
      <c r="B339" s="25"/>
    </row>
    <row r="340" spans="2:2" ht="14.25" customHeight="1">
      <c r="B340" s="25"/>
    </row>
    <row r="341" spans="2:2" ht="14.25" customHeight="1">
      <c r="B341" s="25"/>
    </row>
    <row r="342" spans="2:2" ht="14.25" customHeight="1">
      <c r="B342" s="25"/>
    </row>
    <row r="343" spans="2:2" ht="14.25" customHeight="1">
      <c r="B343" s="25"/>
    </row>
    <row r="344" spans="2:2" ht="14.25" customHeight="1">
      <c r="B344" s="25"/>
    </row>
    <row r="345" spans="2:2" ht="14.25" customHeight="1">
      <c r="B345" s="25"/>
    </row>
    <row r="346" spans="2:2" ht="14.25" customHeight="1">
      <c r="B346" s="25"/>
    </row>
    <row r="347" spans="2:2" ht="14.25" customHeight="1">
      <c r="B347" s="25"/>
    </row>
    <row r="348" spans="2:2" ht="14.25" customHeight="1">
      <c r="B348" s="25"/>
    </row>
    <row r="349" spans="2:2" ht="14.25" customHeight="1">
      <c r="B349" s="25"/>
    </row>
    <row r="350" spans="2:2" ht="14.25" customHeight="1">
      <c r="B350" s="25"/>
    </row>
    <row r="351" spans="2:2" ht="14.25" customHeight="1">
      <c r="B351" s="25"/>
    </row>
    <row r="352" spans="2:2" ht="14.25" customHeight="1">
      <c r="B352" s="25"/>
    </row>
    <row r="353" spans="2:2" ht="14.25" customHeight="1">
      <c r="B353" s="25"/>
    </row>
    <row r="354" spans="2:2" ht="14.25" customHeight="1">
      <c r="B354" s="25"/>
    </row>
    <row r="355" spans="2:2" ht="14.25" customHeight="1">
      <c r="B355" s="25"/>
    </row>
    <row r="356" spans="2:2" ht="14.25" customHeight="1">
      <c r="B356" s="25"/>
    </row>
    <row r="357" spans="2:2" ht="14.25" customHeight="1">
      <c r="B357" s="25"/>
    </row>
    <row r="358" spans="2:2" ht="14.25" customHeight="1">
      <c r="B358" s="25"/>
    </row>
    <row r="359" spans="2:2" ht="14.25" customHeight="1">
      <c r="B359" s="25"/>
    </row>
    <row r="360" spans="2:2" ht="14.25" customHeight="1">
      <c r="B360" s="25"/>
    </row>
    <row r="361" spans="2:2" ht="14.25" customHeight="1">
      <c r="B361" s="25"/>
    </row>
    <row r="362" spans="2:2" ht="14.25" customHeight="1">
      <c r="B362" s="25"/>
    </row>
    <row r="363" spans="2:2" ht="14.25" customHeight="1">
      <c r="B363" s="25"/>
    </row>
    <row r="364" spans="2:2" ht="14.25" customHeight="1">
      <c r="B364" s="25"/>
    </row>
    <row r="365" spans="2:2" ht="14.25" customHeight="1">
      <c r="B365" s="25"/>
    </row>
    <row r="366" spans="2:2" ht="14.25" customHeight="1">
      <c r="B366" s="25"/>
    </row>
    <row r="367" spans="2:2" ht="14.25" customHeight="1">
      <c r="B367" s="25"/>
    </row>
    <row r="368" spans="2:2" ht="14.25" customHeight="1">
      <c r="B368" s="25"/>
    </row>
    <row r="369" spans="2:2" ht="14.25" customHeight="1">
      <c r="B369" s="25"/>
    </row>
    <row r="370" spans="2:2" ht="14.25" customHeight="1">
      <c r="B370" s="25"/>
    </row>
    <row r="371" spans="2:2" ht="14.25" customHeight="1">
      <c r="B371" s="25"/>
    </row>
    <row r="372" spans="2:2" ht="14.25" customHeight="1">
      <c r="B372" s="25"/>
    </row>
    <row r="373" spans="2:2" ht="14.25" customHeight="1">
      <c r="B373" s="25"/>
    </row>
    <row r="374" spans="2:2" ht="14.25" customHeight="1">
      <c r="B374" s="25"/>
    </row>
    <row r="375" spans="2:2" ht="14.25" customHeight="1">
      <c r="B375" s="25"/>
    </row>
    <row r="376" spans="2:2" ht="14.25" customHeight="1">
      <c r="B376" s="25"/>
    </row>
    <row r="377" spans="2:2" ht="14.25" customHeight="1">
      <c r="B377" s="25"/>
    </row>
    <row r="378" spans="2:2" ht="14.25" customHeight="1">
      <c r="B378" s="25"/>
    </row>
    <row r="379" spans="2:2" ht="14.25" customHeight="1">
      <c r="B379" s="25"/>
    </row>
    <row r="380" spans="2:2" ht="14.25" customHeight="1">
      <c r="B380" s="25"/>
    </row>
    <row r="381" spans="2:2" ht="14.25" customHeight="1">
      <c r="B381" s="25"/>
    </row>
    <row r="382" spans="2:2" ht="14.25" customHeight="1">
      <c r="B382" s="25"/>
    </row>
    <row r="383" spans="2:2" ht="14.25" customHeight="1">
      <c r="B383" s="25"/>
    </row>
    <row r="384" spans="2:2" ht="14.25" customHeight="1">
      <c r="B384" s="25"/>
    </row>
    <row r="385" spans="2:2" ht="14.25" customHeight="1">
      <c r="B385" s="25"/>
    </row>
    <row r="386" spans="2:2" ht="14.25" customHeight="1">
      <c r="B386" s="25"/>
    </row>
    <row r="387" spans="2:2" ht="14.25" customHeight="1">
      <c r="B387" s="25"/>
    </row>
    <row r="388" spans="2:2" ht="14.25" customHeight="1">
      <c r="B388" s="25"/>
    </row>
    <row r="389" spans="2:2" ht="14.25" customHeight="1">
      <c r="B389" s="25"/>
    </row>
    <row r="390" spans="2:2" ht="14.25" customHeight="1">
      <c r="B390" s="25"/>
    </row>
    <row r="391" spans="2:2" ht="14.25" customHeight="1">
      <c r="B391" s="25"/>
    </row>
    <row r="392" spans="2:2" ht="14.25" customHeight="1">
      <c r="B392" s="25"/>
    </row>
    <row r="393" spans="2:2" ht="14.25" customHeight="1">
      <c r="B393" s="25"/>
    </row>
    <row r="394" spans="2:2" ht="14.25" customHeight="1">
      <c r="B394" s="25"/>
    </row>
    <row r="395" spans="2:2" ht="14.25" customHeight="1">
      <c r="B395" s="25"/>
    </row>
    <row r="396" spans="2:2" ht="14.25" customHeight="1">
      <c r="B396" s="25"/>
    </row>
    <row r="397" spans="2:2" ht="14.25" customHeight="1">
      <c r="B397" s="25"/>
    </row>
    <row r="398" spans="2:2" ht="14.25" customHeight="1">
      <c r="B398" s="25"/>
    </row>
    <row r="399" spans="2:2" ht="14.25" customHeight="1">
      <c r="B399" s="25"/>
    </row>
    <row r="400" spans="2:2" ht="14.25" customHeight="1">
      <c r="B400" s="25"/>
    </row>
    <row r="401" spans="2:2" ht="14.25" customHeight="1">
      <c r="B401" s="25"/>
    </row>
    <row r="402" spans="2:2" ht="14.25" customHeight="1">
      <c r="B402" s="25"/>
    </row>
    <row r="403" spans="2:2" ht="14.25" customHeight="1">
      <c r="B403" s="25"/>
    </row>
    <row r="404" spans="2:2" ht="14.25" customHeight="1">
      <c r="B404" s="25"/>
    </row>
    <row r="405" spans="2:2" ht="14.25" customHeight="1">
      <c r="B405" s="25"/>
    </row>
    <row r="406" spans="2:2" ht="14.25" customHeight="1">
      <c r="B406" s="25"/>
    </row>
    <row r="407" spans="2:2" ht="14.25" customHeight="1">
      <c r="B407" s="25"/>
    </row>
    <row r="408" spans="2:2" ht="14.25" customHeight="1">
      <c r="B408" s="25"/>
    </row>
    <row r="409" spans="2:2" ht="14.25" customHeight="1">
      <c r="B409" s="25"/>
    </row>
    <row r="410" spans="2:2" ht="14.25" customHeight="1">
      <c r="B410" s="25"/>
    </row>
    <row r="411" spans="2:2" ht="14.25" customHeight="1">
      <c r="B411" s="25"/>
    </row>
    <row r="412" spans="2:2" ht="14.25" customHeight="1">
      <c r="B412" s="25"/>
    </row>
    <row r="413" spans="2:2" ht="14.25" customHeight="1">
      <c r="B413" s="25"/>
    </row>
    <row r="414" spans="2:2" ht="14.25" customHeight="1">
      <c r="B414" s="25"/>
    </row>
    <row r="415" spans="2:2" ht="14.25" customHeight="1">
      <c r="B415" s="25"/>
    </row>
    <row r="416" spans="2:2" ht="14.25" customHeight="1">
      <c r="B416" s="25"/>
    </row>
    <row r="417" spans="2:2" ht="14.25" customHeight="1">
      <c r="B417" s="25"/>
    </row>
    <row r="418" spans="2:2" ht="14.25" customHeight="1">
      <c r="B418" s="25"/>
    </row>
    <row r="419" spans="2:2" ht="14.25" customHeight="1">
      <c r="B419" s="25"/>
    </row>
    <row r="420" spans="2:2" ht="14.25" customHeight="1">
      <c r="B420" s="25"/>
    </row>
    <row r="421" spans="2:2" ht="14.25" customHeight="1">
      <c r="B421" s="25"/>
    </row>
    <row r="422" spans="2:2" ht="14.25" customHeight="1">
      <c r="B422" s="25"/>
    </row>
    <row r="423" spans="2:2" ht="14.25" customHeight="1">
      <c r="B423" s="25"/>
    </row>
    <row r="424" spans="2:2" ht="14.25" customHeight="1">
      <c r="B424" s="25"/>
    </row>
    <row r="425" spans="2:2" ht="14.25" customHeight="1">
      <c r="B425" s="25"/>
    </row>
    <row r="426" spans="2:2" ht="14.25" customHeight="1">
      <c r="B426" s="25"/>
    </row>
    <row r="427" spans="2:2" ht="14.25" customHeight="1">
      <c r="B427" s="25"/>
    </row>
    <row r="428" spans="2:2" ht="14.25" customHeight="1">
      <c r="B428" s="25"/>
    </row>
    <row r="429" spans="2:2" ht="14.25" customHeight="1">
      <c r="B429" s="25"/>
    </row>
    <row r="430" spans="2:2" ht="14.25" customHeight="1">
      <c r="B430" s="25"/>
    </row>
    <row r="431" spans="2:2" ht="14.25" customHeight="1">
      <c r="B431" s="25"/>
    </row>
    <row r="432" spans="2:2" ht="14.25" customHeight="1">
      <c r="B432" s="25"/>
    </row>
    <row r="433" spans="2:2" ht="14.25" customHeight="1">
      <c r="B433" s="25"/>
    </row>
    <row r="434" spans="2:2" ht="14.25" customHeight="1">
      <c r="B434" s="25"/>
    </row>
    <row r="435" spans="2:2" ht="14.25" customHeight="1">
      <c r="B435" s="25"/>
    </row>
    <row r="436" spans="2:2" ht="14.25" customHeight="1">
      <c r="B436" s="25"/>
    </row>
    <row r="437" spans="2:2" ht="14.25" customHeight="1">
      <c r="B437" s="25"/>
    </row>
    <row r="438" spans="2:2" ht="14.25" customHeight="1">
      <c r="B438" s="25"/>
    </row>
    <row r="439" spans="2:2" ht="14.25" customHeight="1">
      <c r="B439" s="25"/>
    </row>
    <row r="440" spans="2:2" ht="14.25" customHeight="1">
      <c r="B440" s="25"/>
    </row>
    <row r="441" spans="2:2" ht="14.25" customHeight="1">
      <c r="B441" s="25"/>
    </row>
    <row r="442" spans="2:2" ht="14.25" customHeight="1">
      <c r="B442" s="25"/>
    </row>
    <row r="443" spans="2:2" ht="14.25" customHeight="1">
      <c r="B443" s="25"/>
    </row>
    <row r="444" spans="2:2" ht="14.25" customHeight="1">
      <c r="B444" s="25"/>
    </row>
    <row r="445" spans="2:2" ht="14.25" customHeight="1">
      <c r="B445" s="25"/>
    </row>
    <row r="446" spans="2:2" ht="14.25" customHeight="1">
      <c r="B446" s="25"/>
    </row>
    <row r="447" spans="2:2" ht="14.25" customHeight="1">
      <c r="B447" s="25"/>
    </row>
    <row r="448" spans="2:2" ht="14.25" customHeight="1">
      <c r="B448" s="25"/>
    </row>
    <row r="449" spans="2:2" ht="14.25" customHeight="1">
      <c r="B449" s="25"/>
    </row>
    <row r="450" spans="2:2" ht="14.25" customHeight="1">
      <c r="B450" s="25"/>
    </row>
    <row r="451" spans="2:2" ht="14.25" customHeight="1">
      <c r="B451" s="25"/>
    </row>
    <row r="452" spans="2:2" ht="14.25" customHeight="1">
      <c r="B452" s="25"/>
    </row>
    <row r="453" spans="2:2" ht="14.25" customHeight="1">
      <c r="B453" s="25"/>
    </row>
    <row r="454" spans="2:2" ht="14.25" customHeight="1">
      <c r="B454" s="25"/>
    </row>
    <row r="455" spans="2:2" ht="14.25" customHeight="1">
      <c r="B455" s="25"/>
    </row>
    <row r="456" spans="2:2" ht="14.25" customHeight="1">
      <c r="B456" s="25"/>
    </row>
    <row r="457" spans="2:2" ht="14.25" customHeight="1">
      <c r="B457" s="25"/>
    </row>
    <row r="458" spans="2:2" ht="14.25" customHeight="1">
      <c r="B458" s="25"/>
    </row>
    <row r="459" spans="2:2" ht="14.25" customHeight="1">
      <c r="B459" s="25"/>
    </row>
    <row r="460" spans="2:2" ht="14.25" customHeight="1">
      <c r="B460" s="25"/>
    </row>
    <row r="461" spans="2:2" ht="14.25" customHeight="1">
      <c r="B461" s="25"/>
    </row>
    <row r="462" spans="2:2" ht="14.25" customHeight="1">
      <c r="B462" s="25"/>
    </row>
    <row r="463" spans="2:2" ht="14.25" customHeight="1">
      <c r="B463" s="25"/>
    </row>
    <row r="464" spans="2:2" ht="14.25" customHeight="1">
      <c r="B464" s="25"/>
    </row>
    <row r="465" spans="2:2" ht="14.25" customHeight="1">
      <c r="B465" s="25"/>
    </row>
    <row r="466" spans="2:2" ht="14.25" customHeight="1">
      <c r="B466" s="25"/>
    </row>
    <row r="467" spans="2:2" ht="14.25" customHeight="1">
      <c r="B467" s="25"/>
    </row>
    <row r="468" spans="2:2" ht="14.25" customHeight="1">
      <c r="B468" s="25"/>
    </row>
    <row r="469" spans="2:2" ht="14.25" customHeight="1">
      <c r="B469" s="25"/>
    </row>
    <row r="470" spans="2:2" ht="14.25" customHeight="1">
      <c r="B470" s="25"/>
    </row>
    <row r="471" spans="2:2" ht="14.25" customHeight="1">
      <c r="B471" s="25"/>
    </row>
    <row r="472" spans="2:2" ht="14.25" customHeight="1">
      <c r="B472" s="25"/>
    </row>
    <row r="473" spans="2:2" ht="14.25" customHeight="1">
      <c r="B473" s="25"/>
    </row>
    <row r="474" spans="2:2" ht="14.25" customHeight="1">
      <c r="B474" s="25"/>
    </row>
    <row r="475" spans="2:2" ht="14.25" customHeight="1">
      <c r="B475" s="25"/>
    </row>
    <row r="476" spans="2:2" ht="14.25" customHeight="1">
      <c r="B476" s="25"/>
    </row>
    <row r="477" spans="2:2" ht="14.25" customHeight="1">
      <c r="B477" s="25"/>
    </row>
    <row r="478" spans="2:2" ht="14.25" customHeight="1">
      <c r="B478" s="25"/>
    </row>
    <row r="479" spans="2:2" ht="14.25" customHeight="1">
      <c r="B479" s="25"/>
    </row>
    <row r="480" spans="2:2" ht="14.25" customHeight="1">
      <c r="B480" s="25"/>
    </row>
    <row r="481" spans="2:2" ht="14.25" customHeight="1">
      <c r="B481" s="25"/>
    </row>
    <row r="482" spans="2:2" ht="14.25" customHeight="1">
      <c r="B482" s="25"/>
    </row>
    <row r="483" spans="2:2" ht="14.25" customHeight="1">
      <c r="B483" s="25"/>
    </row>
    <row r="484" spans="2:2" ht="14.25" customHeight="1">
      <c r="B484" s="25"/>
    </row>
    <row r="485" spans="2:2" ht="14.25" customHeight="1">
      <c r="B485" s="25"/>
    </row>
    <row r="486" spans="2:2" ht="14.25" customHeight="1">
      <c r="B486" s="25"/>
    </row>
    <row r="487" spans="2:2" ht="14.25" customHeight="1">
      <c r="B487" s="25"/>
    </row>
    <row r="488" spans="2:2" ht="14.25" customHeight="1">
      <c r="B488" s="25"/>
    </row>
    <row r="489" spans="2:2" ht="14.25" customHeight="1">
      <c r="B489" s="25"/>
    </row>
    <row r="490" spans="2:2" ht="14.25" customHeight="1">
      <c r="B490" s="25"/>
    </row>
    <row r="491" spans="2:2" ht="14.25" customHeight="1">
      <c r="B491" s="25"/>
    </row>
    <row r="492" spans="2:2" ht="14.25" customHeight="1">
      <c r="B492" s="25"/>
    </row>
    <row r="493" spans="2:2" ht="14.25" customHeight="1">
      <c r="B493" s="25"/>
    </row>
    <row r="494" spans="2:2" ht="14.25" customHeight="1">
      <c r="B494" s="25"/>
    </row>
    <row r="495" spans="2:2" ht="14.25" customHeight="1">
      <c r="B495" s="25"/>
    </row>
    <row r="496" spans="2:2" ht="14.25" customHeight="1">
      <c r="B496" s="25"/>
    </row>
    <row r="497" spans="2:2" ht="14.25" customHeight="1">
      <c r="B497" s="25"/>
    </row>
    <row r="498" spans="2:2" ht="14.25" customHeight="1">
      <c r="B498" s="25"/>
    </row>
    <row r="499" spans="2:2" ht="14.25" customHeight="1">
      <c r="B499" s="25"/>
    </row>
    <row r="500" spans="2:2" ht="14.25" customHeight="1">
      <c r="B500" s="25"/>
    </row>
    <row r="501" spans="2:2" ht="14.25" customHeight="1">
      <c r="B501" s="25"/>
    </row>
    <row r="502" spans="2:2" ht="14.25" customHeight="1">
      <c r="B502" s="25"/>
    </row>
    <row r="503" spans="2:2" ht="14.25" customHeight="1">
      <c r="B503" s="25"/>
    </row>
    <row r="504" spans="2:2" ht="14.25" customHeight="1">
      <c r="B504" s="25"/>
    </row>
    <row r="505" spans="2:2" ht="14.25" customHeight="1">
      <c r="B505" s="25"/>
    </row>
    <row r="506" spans="2:2" ht="14.25" customHeight="1">
      <c r="B506" s="25"/>
    </row>
    <row r="507" spans="2:2" ht="14.25" customHeight="1">
      <c r="B507" s="25"/>
    </row>
    <row r="508" spans="2:2" ht="14.25" customHeight="1">
      <c r="B508" s="25"/>
    </row>
    <row r="509" spans="2:2" ht="14.25" customHeight="1">
      <c r="B509" s="25"/>
    </row>
    <row r="510" spans="2:2" ht="14.25" customHeight="1">
      <c r="B510" s="25"/>
    </row>
    <row r="511" spans="2:2" ht="14.25" customHeight="1">
      <c r="B511" s="25"/>
    </row>
    <row r="512" spans="2:2" ht="14.25" customHeight="1">
      <c r="B512" s="25"/>
    </row>
    <row r="513" spans="2:2" ht="14.25" customHeight="1">
      <c r="B513" s="25"/>
    </row>
    <row r="514" spans="2:2" ht="14.25" customHeight="1">
      <c r="B514" s="25"/>
    </row>
    <row r="515" spans="2:2" ht="14.25" customHeight="1">
      <c r="B515" s="25"/>
    </row>
    <row r="516" spans="2:2" ht="14.25" customHeight="1">
      <c r="B516" s="25"/>
    </row>
    <row r="517" spans="2:2" ht="14.25" customHeight="1">
      <c r="B517" s="25"/>
    </row>
    <row r="518" spans="2:2" ht="14.25" customHeight="1">
      <c r="B518" s="25"/>
    </row>
    <row r="519" spans="2:2" ht="14.25" customHeight="1">
      <c r="B519" s="25"/>
    </row>
    <row r="520" spans="2:2" ht="14.25" customHeight="1">
      <c r="B520" s="25"/>
    </row>
    <row r="521" spans="2:2" ht="14.25" customHeight="1">
      <c r="B521" s="25"/>
    </row>
    <row r="522" spans="2:2" ht="14.25" customHeight="1">
      <c r="B522" s="25"/>
    </row>
    <row r="523" spans="2:2" ht="14.25" customHeight="1">
      <c r="B523" s="25"/>
    </row>
    <row r="524" spans="2:2" ht="14.25" customHeight="1">
      <c r="B524" s="25"/>
    </row>
    <row r="525" spans="2:2" ht="14.25" customHeight="1">
      <c r="B525" s="25"/>
    </row>
    <row r="526" spans="2:2" ht="14.25" customHeight="1">
      <c r="B526" s="25"/>
    </row>
    <row r="527" spans="2:2" ht="14.25" customHeight="1">
      <c r="B527" s="25"/>
    </row>
    <row r="528" spans="2:2" ht="14.25" customHeight="1">
      <c r="B528" s="25"/>
    </row>
    <row r="529" spans="2:2" ht="14.25" customHeight="1">
      <c r="B529" s="25"/>
    </row>
    <row r="530" spans="2:2" ht="14.25" customHeight="1">
      <c r="B530" s="25"/>
    </row>
    <row r="531" spans="2:2" ht="14.25" customHeight="1">
      <c r="B531" s="25"/>
    </row>
    <row r="532" spans="2:2" ht="14.25" customHeight="1">
      <c r="B532" s="25"/>
    </row>
    <row r="533" spans="2:2" ht="14.25" customHeight="1">
      <c r="B533" s="25"/>
    </row>
    <row r="534" spans="2:2" ht="14.25" customHeight="1">
      <c r="B534" s="25"/>
    </row>
    <row r="535" spans="2:2" ht="14.25" customHeight="1">
      <c r="B535" s="25"/>
    </row>
    <row r="536" spans="2:2" ht="14.25" customHeight="1">
      <c r="B536" s="25"/>
    </row>
    <row r="537" spans="2:2" ht="14.25" customHeight="1">
      <c r="B537" s="25"/>
    </row>
    <row r="538" spans="2:2" ht="14.25" customHeight="1">
      <c r="B538" s="25"/>
    </row>
    <row r="539" spans="2:2" ht="14.25" customHeight="1">
      <c r="B539" s="25"/>
    </row>
    <row r="540" spans="2:2" ht="14.25" customHeight="1">
      <c r="B540" s="25"/>
    </row>
    <row r="541" spans="2:2" ht="14.25" customHeight="1">
      <c r="B541" s="25"/>
    </row>
    <row r="542" spans="2:2" ht="14.25" customHeight="1">
      <c r="B542" s="25"/>
    </row>
    <row r="543" spans="2:2" ht="14.25" customHeight="1">
      <c r="B543" s="25"/>
    </row>
    <row r="544" spans="2:2" ht="14.25" customHeight="1">
      <c r="B544" s="25"/>
    </row>
    <row r="545" spans="2:2" ht="14.25" customHeight="1">
      <c r="B545" s="25"/>
    </row>
    <row r="546" spans="2:2" ht="14.25" customHeight="1">
      <c r="B546" s="25"/>
    </row>
    <row r="547" spans="2:2" ht="14.25" customHeight="1">
      <c r="B547" s="25"/>
    </row>
    <row r="548" spans="2:2" ht="14.25" customHeight="1">
      <c r="B548" s="25"/>
    </row>
    <row r="549" spans="2:2" ht="14.25" customHeight="1">
      <c r="B549" s="25"/>
    </row>
    <row r="550" spans="2:2" ht="14.25" customHeight="1">
      <c r="B550" s="25"/>
    </row>
    <row r="551" spans="2:2" ht="14.25" customHeight="1">
      <c r="B551" s="25"/>
    </row>
    <row r="552" spans="2:2" ht="14.25" customHeight="1">
      <c r="B552" s="25"/>
    </row>
    <row r="553" spans="2:2" ht="14.25" customHeight="1">
      <c r="B553" s="25"/>
    </row>
    <row r="554" spans="2:2" ht="14.25" customHeight="1">
      <c r="B554" s="25"/>
    </row>
    <row r="555" spans="2:2" ht="14.25" customHeight="1">
      <c r="B555" s="25"/>
    </row>
    <row r="556" spans="2:2" ht="14.25" customHeight="1">
      <c r="B556" s="25"/>
    </row>
    <row r="557" spans="2:2" ht="14.25" customHeight="1">
      <c r="B557" s="25"/>
    </row>
    <row r="558" spans="2:2" ht="14.25" customHeight="1">
      <c r="B558" s="25"/>
    </row>
    <row r="559" spans="2:2" ht="14.25" customHeight="1">
      <c r="B559" s="25"/>
    </row>
    <row r="560" spans="2:2" ht="14.25" customHeight="1">
      <c r="B560" s="25"/>
    </row>
    <row r="561" spans="2:2" ht="14.25" customHeight="1">
      <c r="B561" s="25"/>
    </row>
    <row r="562" spans="2:2" ht="14.25" customHeight="1">
      <c r="B562" s="25"/>
    </row>
    <row r="563" spans="2:2" ht="14.25" customHeight="1">
      <c r="B563" s="25"/>
    </row>
    <row r="564" spans="2:2" ht="14.25" customHeight="1">
      <c r="B564" s="25"/>
    </row>
    <row r="565" spans="2:2" ht="14.25" customHeight="1">
      <c r="B565" s="25"/>
    </row>
    <row r="566" spans="2:2" ht="14.25" customHeight="1">
      <c r="B566" s="25"/>
    </row>
    <row r="567" spans="2:2" ht="14.25" customHeight="1">
      <c r="B567" s="25"/>
    </row>
    <row r="568" spans="2:2" ht="14.25" customHeight="1">
      <c r="B568" s="25"/>
    </row>
    <row r="569" spans="2:2" ht="14.25" customHeight="1">
      <c r="B569" s="25"/>
    </row>
    <row r="570" spans="2:2" ht="14.25" customHeight="1">
      <c r="B570" s="25"/>
    </row>
    <row r="571" spans="2:2" ht="14.25" customHeight="1">
      <c r="B571" s="25"/>
    </row>
    <row r="572" spans="2:2" ht="14.25" customHeight="1">
      <c r="B572" s="25"/>
    </row>
    <row r="573" spans="2:2" ht="14.25" customHeight="1">
      <c r="B573" s="25"/>
    </row>
    <row r="574" spans="2:2" ht="14.25" customHeight="1">
      <c r="B574" s="25"/>
    </row>
    <row r="575" spans="2:2" ht="14.25" customHeight="1">
      <c r="B575" s="25"/>
    </row>
    <row r="576" spans="2:2" ht="14.25" customHeight="1">
      <c r="B576" s="25"/>
    </row>
    <row r="577" spans="2:2" ht="14.25" customHeight="1">
      <c r="B577" s="25"/>
    </row>
    <row r="578" spans="2:2" ht="14.25" customHeight="1">
      <c r="B578" s="25"/>
    </row>
    <row r="579" spans="2:2" ht="14.25" customHeight="1">
      <c r="B579" s="25"/>
    </row>
    <row r="580" spans="2:2" ht="14.25" customHeight="1">
      <c r="B580" s="25"/>
    </row>
    <row r="581" spans="2:2" ht="14.25" customHeight="1">
      <c r="B581" s="25"/>
    </row>
    <row r="582" spans="2:2" ht="14.25" customHeight="1">
      <c r="B582" s="25"/>
    </row>
    <row r="583" spans="2:2" ht="14.25" customHeight="1">
      <c r="B583" s="25"/>
    </row>
    <row r="584" spans="2:2" ht="14.25" customHeight="1">
      <c r="B584" s="25"/>
    </row>
    <row r="585" spans="2:2" ht="14.25" customHeight="1">
      <c r="B585" s="25"/>
    </row>
    <row r="586" spans="2:2" ht="14.25" customHeight="1">
      <c r="B586" s="25"/>
    </row>
    <row r="587" spans="2:2" ht="14.25" customHeight="1">
      <c r="B587" s="25"/>
    </row>
    <row r="588" spans="2:2" ht="14.25" customHeight="1">
      <c r="B588" s="25"/>
    </row>
    <row r="589" spans="2:2" ht="14.25" customHeight="1">
      <c r="B589" s="25"/>
    </row>
    <row r="590" spans="2:2" ht="14.25" customHeight="1">
      <c r="B590" s="25"/>
    </row>
    <row r="591" spans="2:2" ht="14.25" customHeight="1">
      <c r="B591" s="25"/>
    </row>
    <row r="592" spans="2:2" ht="14.25" customHeight="1">
      <c r="B592" s="25"/>
    </row>
    <row r="593" spans="2:2" ht="14.25" customHeight="1">
      <c r="B593" s="25"/>
    </row>
    <row r="594" spans="2:2" ht="14.25" customHeight="1">
      <c r="B594" s="25"/>
    </row>
    <row r="595" spans="2:2" ht="14.25" customHeight="1">
      <c r="B595" s="25"/>
    </row>
    <row r="596" spans="2:2" ht="14.25" customHeight="1">
      <c r="B596" s="25"/>
    </row>
    <row r="597" spans="2:2" ht="14.25" customHeight="1">
      <c r="B597" s="25"/>
    </row>
    <row r="598" spans="2:2" ht="14.25" customHeight="1">
      <c r="B598" s="25"/>
    </row>
    <row r="599" spans="2:2" ht="14.25" customHeight="1">
      <c r="B599" s="25"/>
    </row>
    <row r="600" spans="2:2" ht="14.25" customHeight="1">
      <c r="B600" s="25"/>
    </row>
    <row r="601" spans="2:2" ht="14.25" customHeight="1">
      <c r="B601" s="25"/>
    </row>
    <row r="602" spans="2:2" ht="14.25" customHeight="1">
      <c r="B602" s="25"/>
    </row>
    <row r="603" spans="2:2" ht="14.25" customHeight="1">
      <c r="B603" s="25"/>
    </row>
    <row r="604" spans="2:2" ht="14.25" customHeight="1">
      <c r="B604" s="25"/>
    </row>
    <row r="605" spans="2:2" ht="14.25" customHeight="1">
      <c r="B605" s="25"/>
    </row>
    <row r="606" spans="2:2" ht="14.25" customHeight="1">
      <c r="B606" s="25"/>
    </row>
    <row r="607" spans="2:2" ht="14.25" customHeight="1">
      <c r="B607" s="25"/>
    </row>
    <row r="608" spans="2:2" ht="14.25" customHeight="1">
      <c r="B608" s="25"/>
    </row>
    <row r="609" spans="2:2" ht="14.25" customHeight="1">
      <c r="B609" s="25"/>
    </row>
    <row r="610" spans="2:2" ht="14.25" customHeight="1">
      <c r="B610" s="25"/>
    </row>
    <row r="611" spans="2:2" ht="14.25" customHeight="1">
      <c r="B611" s="25"/>
    </row>
    <row r="612" spans="2:2" ht="14.25" customHeight="1">
      <c r="B612" s="25"/>
    </row>
    <row r="613" spans="2:2" ht="14.25" customHeight="1">
      <c r="B613" s="25"/>
    </row>
    <row r="614" spans="2:2" ht="14.25" customHeight="1">
      <c r="B614" s="25"/>
    </row>
    <row r="615" spans="2:2" ht="14.25" customHeight="1">
      <c r="B615" s="25"/>
    </row>
    <row r="616" spans="2:2" ht="14.25" customHeight="1">
      <c r="B616" s="25"/>
    </row>
    <row r="617" spans="2:2" ht="14.25" customHeight="1">
      <c r="B617" s="25"/>
    </row>
    <row r="618" spans="2:2" ht="14.25" customHeight="1">
      <c r="B618" s="25"/>
    </row>
    <row r="619" spans="2:2" ht="14.25" customHeight="1">
      <c r="B619" s="25"/>
    </row>
    <row r="620" spans="2:2" ht="14.25" customHeight="1">
      <c r="B620" s="25"/>
    </row>
    <row r="621" spans="2:2" ht="14.25" customHeight="1">
      <c r="B621" s="25"/>
    </row>
    <row r="622" spans="2:2" ht="14.25" customHeight="1">
      <c r="B622" s="25"/>
    </row>
    <row r="623" spans="2:2" ht="14.25" customHeight="1">
      <c r="B623" s="25"/>
    </row>
    <row r="624" spans="2:2" ht="14.25" customHeight="1">
      <c r="B624" s="25"/>
    </row>
    <row r="625" spans="2:2" ht="14.25" customHeight="1">
      <c r="B625" s="25"/>
    </row>
    <row r="626" spans="2:2" ht="14.25" customHeight="1">
      <c r="B626" s="25"/>
    </row>
    <row r="627" spans="2:2" ht="14.25" customHeight="1">
      <c r="B627" s="25"/>
    </row>
    <row r="628" spans="2:2" ht="14.25" customHeight="1">
      <c r="B628" s="25"/>
    </row>
    <row r="629" spans="2:2" ht="14.25" customHeight="1">
      <c r="B629" s="25"/>
    </row>
    <row r="630" spans="2:2" ht="14.25" customHeight="1">
      <c r="B630" s="25"/>
    </row>
    <row r="631" spans="2:2" ht="14.25" customHeight="1">
      <c r="B631" s="25"/>
    </row>
    <row r="632" spans="2:2" ht="14.25" customHeight="1">
      <c r="B632" s="25"/>
    </row>
    <row r="633" spans="2:2" ht="14.25" customHeight="1">
      <c r="B633" s="25"/>
    </row>
    <row r="634" spans="2:2" ht="14.25" customHeight="1">
      <c r="B634" s="25"/>
    </row>
    <row r="635" spans="2:2" ht="14.25" customHeight="1">
      <c r="B635" s="25"/>
    </row>
    <row r="636" spans="2:2" ht="14.25" customHeight="1">
      <c r="B636" s="25"/>
    </row>
    <row r="637" spans="2:2" ht="14.25" customHeight="1">
      <c r="B637" s="25"/>
    </row>
    <row r="638" spans="2:2" ht="14.25" customHeight="1">
      <c r="B638" s="25"/>
    </row>
    <row r="639" spans="2:2" ht="14.25" customHeight="1">
      <c r="B639" s="25"/>
    </row>
    <row r="640" spans="2:2" ht="14.25" customHeight="1">
      <c r="B640" s="25"/>
    </row>
    <row r="641" spans="2:2" ht="14.25" customHeight="1">
      <c r="B641" s="25"/>
    </row>
    <row r="642" spans="2:2" ht="14.25" customHeight="1">
      <c r="B642" s="25"/>
    </row>
    <row r="643" spans="2:2" ht="14.25" customHeight="1">
      <c r="B643" s="25"/>
    </row>
    <row r="644" spans="2:2" ht="14.25" customHeight="1">
      <c r="B644" s="25"/>
    </row>
    <row r="645" spans="2:2" ht="14.25" customHeight="1">
      <c r="B645" s="25"/>
    </row>
    <row r="646" spans="2:2" ht="14.25" customHeight="1">
      <c r="B646" s="25"/>
    </row>
    <row r="647" spans="2:2" ht="14.25" customHeight="1">
      <c r="B647" s="25"/>
    </row>
    <row r="648" spans="2:2" ht="14.25" customHeight="1">
      <c r="B648" s="25"/>
    </row>
    <row r="649" spans="2:2" ht="14.25" customHeight="1">
      <c r="B649" s="25"/>
    </row>
    <row r="650" spans="2:2" ht="14.25" customHeight="1">
      <c r="B650" s="25"/>
    </row>
    <row r="651" spans="2:2" ht="14.25" customHeight="1">
      <c r="B651" s="25"/>
    </row>
    <row r="652" spans="2:2" ht="14.25" customHeight="1">
      <c r="B652" s="25"/>
    </row>
    <row r="653" spans="2:2" ht="14.25" customHeight="1">
      <c r="B653" s="25"/>
    </row>
    <row r="654" spans="2:2" ht="14.25" customHeight="1">
      <c r="B654" s="25"/>
    </row>
    <row r="655" spans="2:2" ht="14.25" customHeight="1">
      <c r="B655" s="25"/>
    </row>
    <row r="656" spans="2:2" ht="14.25" customHeight="1">
      <c r="B656" s="25"/>
    </row>
    <row r="657" spans="2:2" ht="14.25" customHeight="1">
      <c r="B657" s="25"/>
    </row>
    <row r="658" spans="2:2" ht="14.25" customHeight="1">
      <c r="B658" s="25"/>
    </row>
    <row r="659" spans="2:2" ht="14.25" customHeight="1">
      <c r="B659" s="25"/>
    </row>
    <row r="660" spans="2:2" ht="14.25" customHeight="1">
      <c r="B660" s="25"/>
    </row>
    <row r="661" spans="2:2" ht="14.25" customHeight="1">
      <c r="B661" s="25"/>
    </row>
    <row r="662" spans="2:2" ht="14.25" customHeight="1">
      <c r="B662" s="25"/>
    </row>
    <row r="663" spans="2:2" ht="14.25" customHeight="1">
      <c r="B663" s="25"/>
    </row>
    <row r="664" spans="2:2" ht="14.25" customHeight="1">
      <c r="B664" s="25"/>
    </row>
    <row r="665" spans="2:2" ht="14.25" customHeight="1">
      <c r="B665" s="25"/>
    </row>
    <row r="666" spans="2:2" ht="14.25" customHeight="1">
      <c r="B666" s="25"/>
    </row>
    <row r="667" spans="2:2" ht="14.25" customHeight="1">
      <c r="B667" s="25"/>
    </row>
    <row r="668" spans="2:2" ht="14.25" customHeight="1">
      <c r="B668" s="25"/>
    </row>
    <row r="669" spans="2:2" ht="14.25" customHeight="1">
      <c r="B669" s="25"/>
    </row>
    <row r="670" spans="2:2" ht="14.25" customHeight="1">
      <c r="B670" s="25"/>
    </row>
    <row r="671" spans="2:2" ht="14.25" customHeight="1">
      <c r="B671" s="25"/>
    </row>
    <row r="672" spans="2:2" ht="14.25" customHeight="1">
      <c r="B672" s="25"/>
    </row>
    <row r="673" spans="2:2" ht="14.25" customHeight="1">
      <c r="B673" s="25"/>
    </row>
    <row r="674" spans="2:2" ht="14.25" customHeight="1">
      <c r="B674" s="25"/>
    </row>
    <row r="675" spans="2:2" ht="14.25" customHeight="1">
      <c r="B675" s="25"/>
    </row>
    <row r="676" spans="2:2" ht="14.25" customHeight="1">
      <c r="B676" s="25"/>
    </row>
    <row r="677" spans="2:2" ht="14.25" customHeight="1">
      <c r="B677" s="25"/>
    </row>
    <row r="678" spans="2:2" ht="14.25" customHeight="1">
      <c r="B678" s="25"/>
    </row>
    <row r="679" spans="2:2" ht="14.25" customHeight="1">
      <c r="B679" s="25"/>
    </row>
    <row r="680" spans="2:2" ht="14.25" customHeight="1">
      <c r="B680" s="25"/>
    </row>
    <row r="681" spans="2:2" ht="14.25" customHeight="1">
      <c r="B681" s="25"/>
    </row>
    <row r="682" spans="2:2" ht="14.25" customHeight="1">
      <c r="B682" s="25"/>
    </row>
    <row r="683" spans="2:2" ht="14.25" customHeight="1">
      <c r="B683" s="25"/>
    </row>
    <row r="684" spans="2:2" ht="14.25" customHeight="1">
      <c r="B684" s="25"/>
    </row>
    <row r="685" spans="2:2" ht="14.25" customHeight="1">
      <c r="B685" s="25"/>
    </row>
    <row r="686" spans="2:2" ht="14.25" customHeight="1">
      <c r="B686" s="25"/>
    </row>
    <row r="687" spans="2:2" ht="14.25" customHeight="1">
      <c r="B687" s="25"/>
    </row>
    <row r="688" spans="2:2" ht="14.25" customHeight="1">
      <c r="B688" s="25"/>
    </row>
    <row r="689" spans="2:2" ht="14.25" customHeight="1">
      <c r="B689" s="25"/>
    </row>
    <row r="690" spans="2:2" ht="14.25" customHeight="1">
      <c r="B690" s="25"/>
    </row>
    <row r="691" spans="2:2" ht="14.25" customHeight="1">
      <c r="B691" s="25"/>
    </row>
    <row r="692" spans="2:2" ht="14.25" customHeight="1">
      <c r="B692" s="25"/>
    </row>
    <row r="693" spans="2:2" ht="14.25" customHeight="1">
      <c r="B693" s="25"/>
    </row>
    <row r="694" spans="2:2" ht="14.25" customHeight="1">
      <c r="B694" s="25"/>
    </row>
    <row r="695" spans="2:2" ht="14.25" customHeight="1">
      <c r="B695" s="25"/>
    </row>
    <row r="696" spans="2:2" ht="14.25" customHeight="1">
      <c r="B696" s="25"/>
    </row>
    <row r="697" spans="2:2" ht="14.25" customHeight="1">
      <c r="B697" s="25"/>
    </row>
    <row r="698" spans="2:2" ht="14.25" customHeight="1">
      <c r="B698" s="25"/>
    </row>
    <row r="699" spans="2:2" ht="14.25" customHeight="1">
      <c r="B699" s="25"/>
    </row>
    <row r="700" spans="2:2" ht="14.25" customHeight="1">
      <c r="B700" s="25"/>
    </row>
    <row r="701" spans="2:2" ht="14.25" customHeight="1">
      <c r="B701" s="25"/>
    </row>
    <row r="702" spans="2:2" ht="14.25" customHeight="1">
      <c r="B702" s="25"/>
    </row>
    <row r="703" spans="2:2" ht="14.25" customHeight="1">
      <c r="B703" s="25"/>
    </row>
    <row r="704" spans="2:2" ht="14.25" customHeight="1">
      <c r="B704" s="25"/>
    </row>
    <row r="705" spans="2:2" ht="14.25" customHeight="1">
      <c r="B705" s="25"/>
    </row>
    <row r="706" spans="2:2" ht="14.25" customHeight="1">
      <c r="B706" s="25"/>
    </row>
    <row r="707" spans="2:2" ht="14.25" customHeight="1">
      <c r="B707" s="25"/>
    </row>
    <row r="708" spans="2:2" ht="14.25" customHeight="1">
      <c r="B708" s="25"/>
    </row>
    <row r="709" spans="2:2" ht="14.25" customHeight="1">
      <c r="B709" s="25"/>
    </row>
    <row r="710" spans="2:2" ht="14.25" customHeight="1">
      <c r="B710" s="25"/>
    </row>
    <row r="711" spans="2:2" ht="14.25" customHeight="1">
      <c r="B711" s="25"/>
    </row>
    <row r="712" spans="2:2" ht="14.25" customHeight="1">
      <c r="B712" s="25"/>
    </row>
    <row r="713" spans="2:2" ht="14.25" customHeight="1">
      <c r="B713" s="25"/>
    </row>
    <row r="714" spans="2:2" ht="14.25" customHeight="1">
      <c r="B714" s="25"/>
    </row>
    <row r="715" spans="2:2" ht="14.25" customHeight="1">
      <c r="B715" s="25"/>
    </row>
    <row r="716" spans="2:2" ht="14.25" customHeight="1">
      <c r="B716" s="25"/>
    </row>
    <row r="717" spans="2:2" ht="14.25" customHeight="1">
      <c r="B717" s="25"/>
    </row>
    <row r="718" spans="2:2" ht="14.25" customHeight="1">
      <c r="B718" s="25"/>
    </row>
    <row r="719" spans="2:2" ht="14.25" customHeight="1">
      <c r="B719" s="25"/>
    </row>
    <row r="720" spans="2:2" ht="14.25" customHeight="1">
      <c r="B720" s="25"/>
    </row>
    <row r="721" spans="2:2" ht="14.25" customHeight="1">
      <c r="B721" s="25"/>
    </row>
    <row r="722" spans="2:2" ht="14.25" customHeight="1">
      <c r="B722" s="25"/>
    </row>
    <row r="723" spans="2:2" ht="14.25" customHeight="1">
      <c r="B723" s="25"/>
    </row>
    <row r="724" spans="2:2" ht="14.25" customHeight="1">
      <c r="B724" s="25"/>
    </row>
    <row r="725" spans="2:2" ht="14.25" customHeight="1">
      <c r="B725" s="25"/>
    </row>
    <row r="726" spans="2:2" ht="14.25" customHeight="1">
      <c r="B726" s="25"/>
    </row>
    <row r="727" spans="2:2" ht="14.25" customHeight="1">
      <c r="B727" s="25"/>
    </row>
    <row r="728" spans="2:2" ht="14.25" customHeight="1">
      <c r="B728" s="25"/>
    </row>
    <row r="729" spans="2:2" ht="14.25" customHeight="1">
      <c r="B729" s="25"/>
    </row>
    <row r="730" spans="2:2" ht="14.25" customHeight="1">
      <c r="B730" s="25"/>
    </row>
    <row r="731" spans="2:2" ht="14.25" customHeight="1">
      <c r="B731" s="25"/>
    </row>
    <row r="732" spans="2:2" ht="14.25" customHeight="1">
      <c r="B732" s="25"/>
    </row>
    <row r="733" spans="2:2" ht="14.25" customHeight="1">
      <c r="B733" s="25"/>
    </row>
    <row r="734" spans="2:2" ht="14.25" customHeight="1">
      <c r="B734" s="25"/>
    </row>
    <row r="735" spans="2:2" ht="14.25" customHeight="1">
      <c r="B735" s="25"/>
    </row>
    <row r="736" spans="2:2" ht="14.25" customHeight="1">
      <c r="B736" s="25"/>
    </row>
    <row r="737" spans="2:2" ht="14.25" customHeight="1">
      <c r="B737" s="25"/>
    </row>
    <row r="738" spans="2:2" ht="14.25" customHeight="1">
      <c r="B738" s="25"/>
    </row>
    <row r="739" spans="2:2" ht="14.25" customHeight="1">
      <c r="B739" s="25"/>
    </row>
    <row r="740" spans="2:2" ht="14.25" customHeight="1">
      <c r="B740" s="25"/>
    </row>
    <row r="741" spans="2:2" ht="14.25" customHeight="1">
      <c r="B741" s="25"/>
    </row>
    <row r="742" spans="2:2" ht="14.25" customHeight="1">
      <c r="B742" s="25"/>
    </row>
    <row r="743" spans="2:2" ht="14.25" customHeight="1">
      <c r="B743" s="25"/>
    </row>
    <row r="744" spans="2:2" ht="14.25" customHeight="1">
      <c r="B744" s="25"/>
    </row>
    <row r="745" spans="2:2" ht="14.25" customHeight="1">
      <c r="B745" s="25"/>
    </row>
    <row r="746" spans="2:2" ht="14.25" customHeight="1">
      <c r="B746" s="25"/>
    </row>
    <row r="747" spans="2:2" ht="14.25" customHeight="1">
      <c r="B747" s="25"/>
    </row>
    <row r="748" spans="2:2" ht="14.25" customHeight="1">
      <c r="B748" s="25"/>
    </row>
    <row r="749" spans="2:2" ht="14.25" customHeight="1">
      <c r="B749" s="25"/>
    </row>
    <row r="750" spans="2:2" ht="14.25" customHeight="1">
      <c r="B750" s="25"/>
    </row>
    <row r="751" spans="2:2" ht="14.25" customHeight="1">
      <c r="B751" s="25"/>
    </row>
    <row r="752" spans="2:2" ht="14.25" customHeight="1">
      <c r="B752" s="25"/>
    </row>
    <row r="753" spans="2:2" ht="14.25" customHeight="1">
      <c r="B753" s="25"/>
    </row>
    <row r="754" spans="2:2" ht="14.25" customHeight="1">
      <c r="B754" s="25"/>
    </row>
    <row r="755" spans="2:2" ht="14.25" customHeight="1">
      <c r="B755" s="25"/>
    </row>
    <row r="756" spans="2:2" ht="14.25" customHeight="1">
      <c r="B756" s="25"/>
    </row>
    <row r="757" spans="2:2" ht="14.25" customHeight="1">
      <c r="B757" s="25"/>
    </row>
    <row r="758" spans="2:2" ht="14.25" customHeight="1">
      <c r="B758" s="25"/>
    </row>
    <row r="759" spans="2:2" ht="14.25" customHeight="1">
      <c r="B759" s="25"/>
    </row>
    <row r="760" spans="2:2" ht="14.25" customHeight="1">
      <c r="B760" s="25"/>
    </row>
    <row r="761" spans="2:2" ht="14.25" customHeight="1">
      <c r="B761" s="25"/>
    </row>
    <row r="762" spans="2:2" ht="14.25" customHeight="1">
      <c r="B762" s="25"/>
    </row>
    <row r="763" spans="2:2" ht="14.25" customHeight="1">
      <c r="B763" s="25"/>
    </row>
    <row r="764" spans="2:2" ht="14.25" customHeight="1">
      <c r="B764" s="25"/>
    </row>
    <row r="765" spans="2:2" ht="14.25" customHeight="1">
      <c r="B765" s="25"/>
    </row>
    <row r="766" spans="2:2" ht="14.25" customHeight="1">
      <c r="B766" s="25"/>
    </row>
    <row r="767" spans="2:2" ht="14.25" customHeight="1">
      <c r="B767" s="25"/>
    </row>
    <row r="768" spans="2:2" ht="14.25" customHeight="1">
      <c r="B768" s="25"/>
    </row>
    <row r="769" spans="2:2" ht="14.25" customHeight="1">
      <c r="B769" s="25"/>
    </row>
    <row r="770" spans="2:2" ht="14.25" customHeight="1">
      <c r="B770" s="25"/>
    </row>
    <row r="771" spans="2:2" ht="14.25" customHeight="1">
      <c r="B771" s="25"/>
    </row>
    <row r="772" spans="2:2" ht="14.25" customHeight="1">
      <c r="B772" s="25"/>
    </row>
    <row r="773" spans="2:2" ht="14.25" customHeight="1">
      <c r="B773" s="25"/>
    </row>
    <row r="774" spans="2:2" ht="14.25" customHeight="1">
      <c r="B774" s="25"/>
    </row>
    <row r="775" spans="2:2" ht="14.25" customHeight="1">
      <c r="B775" s="25"/>
    </row>
    <row r="776" spans="2:2" ht="14.25" customHeight="1">
      <c r="B776" s="25"/>
    </row>
    <row r="777" spans="2:2" ht="14.25" customHeight="1">
      <c r="B777" s="25"/>
    </row>
    <row r="778" spans="2:2" ht="14.25" customHeight="1">
      <c r="B778" s="25"/>
    </row>
    <row r="779" spans="2:2" ht="14.25" customHeight="1">
      <c r="B779" s="25"/>
    </row>
    <row r="780" spans="2:2" ht="14.25" customHeight="1">
      <c r="B780" s="25"/>
    </row>
    <row r="781" spans="2:2" ht="14.25" customHeight="1">
      <c r="B781" s="25"/>
    </row>
    <row r="782" spans="2:2" ht="14.25" customHeight="1">
      <c r="B782" s="25"/>
    </row>
    <row r="783" spans="2:2" ht="14.25" customHeight="1">
      <c r="B783" s="25"/>
    </row>
    <row r="784" spans="2:2" ht="14.25" customHeight="1">
      <c r="B784" s="25"/>
    </row>
    <row r="785" spans="2:2" ht="14.25" customHeight="1">
      <c r="B785" s="25"/>
    </row>
    <row r="786" spans="2:2" ht="14.25" customHeight="1">
      <c r="B786" s="25"/>
    </row>
    <row r="787" spans="2:2" ht="14.25" customHeight="1">
      <c r="B787" s="25"/>
    </row>
    <row r="788" spans="2:2" ht="14.25" customHeight="1">
      <c r="B788" s="25"/>
    </row>
    <row r="789" spans="2:2" ht="14.25" customHeight="1">
      <c r="B789" s="25"/>
    </row>
    <row r="790" spans="2:2" ht="14.25" customHeight="1">
      <c r="B790" s="25"/>
    </row>
    <row r="791" spans="2:2" ht="14.25" customHeight="1">
      <c r="B791" s="25"/>
    </row>
    <row r="792" spans="2:2" ht="14.25" customHeight="1">
      <c r="B792" s="25"/>
    </row>
    <row r="793" spans="2:2" ht="14.25" customHeight="1">
      <c r="B793" s="25"/>
    </row>
    <row r="794" spans="2:2" ht="14.25" customHeight="1">
      <c r="B794" s="25"/>
    </row>
    <row r="795" spans="2:2" ht="14.25" customHeight="1">
      <c r="B795" s="25"/>
    </row>
    <row r="796" spans="2:2" ht="14.25" customHeight="1">
      <c r="B796" s="25"/>
    </row>
    <row r="797" spans="2:2" ht="14.25" customHeight="1">
      <c r="B797" s="25"/>
    </row>
    <row r="798" spans="2:2" ht="14.25" customHeight="1">
      <c r="B798" s="25"/>
    </row>
    <row r="799" spans="2:2" ht="14.25" customHeight="1">
      <c r="B799" s="25"/>
    </row>
    <row r="800" spans="2:2" ht="14.25" customHeight="1">
      <c r="B800" s="25"/>
    </row>
    <row r="801" spans="2:2" ht="14.25" customHeight="1">
      <c r="B801" s="25"/>
    </row>
    <row r="802" spans="2:2" ht="14.25" customHeight="1">
      <c r="B802" s="25"/>
    </row>
    <row r="803" spans="2:2" ht="14.25" customHeight="1">
      <c r="B803" s="25"/>
    </row>
    <row r="804" spans="2:2" ht="14.25" customHeight="1">
      <c r="B804" s="25"/>
    </row>
    <row r="805" spans="2:2" ht="14.25" customHeight="1">
      <c r="B805" s="25"/>
    </row>
    <row r="806" spans="2:2" ht="14.25" customHeight="1">
      <c r="B806" s="25"/>
    </row>
    <row r="807" spans="2:2" ht="14.25" customHeight="1">
      <c r="B807" s="25"/>
    </row>
    <row r="808" spans="2:2" ht="14.25" customHeight="1">
      <c r="B808" s="25"/>
    </row>
    <row r="809" spans="2:2" ht="14.25" customHeight="1">
      <c r="B809" s="25"/>
    </row>
    <row r="810" spans="2:2" ht="14.25" customHeight="1">
      <c r="B810" s="25"/>
    </row>
    <row r="811" spans="2:2" ht="14.25" customHeight="1">
      <c r="B811" s="25"/>
    </row>
    <row r="812" spans="2:2" ht="14.25" customHeight="1">
      <c r="B812" s="25"/>
    </row>
    <row r="813" spans="2:2" ht="14.25" customHeight="1">
      <c r="B813" s="25"/>
    </row>
    <row r="814" spans="2:2" ht="14.25" customHeight="1">
      <c r="B814" s="25"/>
    </row>
    <row r="815" spans="2:2" ht="14.25" customHeight="1">
      <c r="B815" s="25"/>
    </row>
    <row r="816" spans="2:2" ht="14.25" customHeight="1">
      <c r="B816" s="25"/>
    </row>
    <row r="817" spans="2:2" ht="14.25" customHeight="1">
      <c r="B817" s="25"/>
    </row>
    <row r="818" spans="2:2" ht="14.25" customHeight="1">
      <c r="B818" s="25"/>
    </row>
    <row r="819" spans="2:2" ht="14.25" customHeight="1">
      <c r="B819" s="25"/>
    </row>
    <row r="820" spans="2:2" ht="14.25" customHeight="1">
      <c r="B820" s="25"/>
    </row>
    <row r="821" spans="2:2" ht="14.25" customHeight="1">
      <c r="B821" s="25"/>
    </row>
    <row r="822" spans="2:2" ht="14.25" customHeight="1">
      <c r="B822" s="25"/>
    </row>
    <row r="823" spans="2:2" ht="14.25" customHeight="1">
      <c r="B823" s="25"/>
    </row>
    <row r="824" spans="2:2" ht="14.25" customHeight="1">
      <c r="B824" s="25"/>
    </row>
    <row r="825" spans="2:2" ht="14.25" customHeight="1">
      <c r="B825" s="25"/>
    </row>
    <row r="826" spans="2:2" ht="14.25" customHeight="1">
      <c r="B826" s="25"/>
    </row>
    <row r="827" spans="2:2" ht="14.25" customHeight="1">
      <c r="B827" s="25"/>
    </row>
    <row r="828" spans="2:2" ht="14.25" customHeight="1">
      <c r="B828" s="25"/>
    </row>
    <row r="829" spans="2:2" ht="14.25" customHeight="1">
      <c r="B829" s="25"/>
    </row>
    <row r="830" spans="2:2" ht="14.25" customHeight="1">
      <c r="B830" s="25"/>
    </row>
    <row r="831" spans="2:2" ht="14.25" customHeight="1">
      <c r="B831" s="25"/>
    </row>
    <row r="832" spans="2:2" ht="14.25" customHeight="1">
      <c r="B832" s="25"/>
    </row>
    <row r="833" spans="2:2" ht="14.25" customHeight="1">
      <c r="B833" s="25"/>
    </row>
    <row r="834" spans="2:2" ht="14.25" customHeight="1">
      <c r="B834" s="25"/>
    </row>
    <row r="835" spans="2:2" ht="14.25" customHeight="1">
      <c r="B835" s="25"/>
    </row>
    <row r="836" spans="2:2" ht="14.25" customHeight="1">
      <c r="B836" s="25"/>
    </row>
    <row r="837" spans="2:2" ht="14.25" customHeight="1">
      <c r="B837" s="25"/>
    </row>
    <row r="838" spans="2:2" ht="14.25" customHeight="1">
      <c r="B838" s="25"/>
    </row>
    <row r="839" spans="2:2" ht="14.25" customHeight="1">
      <c r="B839" s="25"/>
    </row>
    <row r="840" spans="2:2" ht="14.25" customHeight="1">
      <c r="B840" s="25"/>
    </row>
    <row r="841" spans="2:2" ht="14.25" customHeight="1">
      <c r="B841" s="25"/>
    </row>
    <row r="842" spans="2:2" ht="14.25" customHeight="1">
      <c r="B842" s="25"/>
    </row>
    <row r="843" spans="2:2" ht="14.25" customHeight="1">
      <c r="B843" s="25"/>
    </row>
    <row r="844" spans="2:2" ht="14.25" customHeight="1">
      <c r="B844" s="25"/>
    </row>
    <row r="845" spans="2:2" ht="14.25" customHeight="1">
      <c r="B845" s="25"/>
    </row>
    <row r="846" spans="2:2" ht="14.25" customHeight="1">
      <c r="B846" s="25"/>
    </row>
    <row r="847" spans="2:2" ht="14.25" customHeight="1">
      <c r="B847" s="25"/>
    </row>
    <row r="848" spans="2:2" ht="14.25" customHeight="1">
      <c r="B848" s="25"/>
    </row>
    <row r="849" spans="2:2" ht="14.25" customHeight="1">
      <c r="B849" s="25"/>
    </row>
    <row r="850" spans="2:2" ht="14.25" customHeight="1">
      <c r="B850" s="25"/>
    </row>
    <row r="851" spans="2:2" ht="14.25" customHeight="1">
      <c r="B851" s="25"/>
    </row>
    <row r="852" spans="2:2" ht="14.25" customHeight="1">
      <c r="B852" s="25"/>
    </row>
    <row r="853" spans="2:2" ht="14.25" customHeight="1">
      <c r="B853" s="25"/>
    </row>
    <row r="854" spans="2:2" ht="14.25" customHeight="1">
      <c r="B854" s="25"/>
    </row>
    <row r="855" spans="2:2" ht="14.25" customHeight="1">
      <c r="B855" s="25"/>
    </row>
    <row r="856" spans="2:2" ht="14.25" customHeight="1">
      <c r="B856" s="25"/>
    </row>
    <row r="857" spans="2:2" ht="14.25" customHeight="1">
      <c r="B857" s="25"/>
    </row>
    <row r="858" spans="2:2" ht="14.25" customHeight="1">
      <c r="B858" s="25"/>
    </row>
    <row r="859" spans="2:2" ht="14.25" customHeight="1">
      <c r="B859" s="25"/>
    </row>
    <row r="860" spans="2:2" ht="14.25" customHeight="1">
      <c r="B860" s="25"/>
    </row>
    <row r="861" spans="2:2" ht="14.25" customHeight="1">
      <c r="B861" s="25"/>
    </row>
    <row r="862" spans="2:2" ht="14.25" customHeight="1">
      <c r="B862" s="25"/>
    </row>
    <row r="863" spans="2:2" ht="14.25" customHeight="1">
      <c r="B863" s="25"/>
    </row>
    <row r="864" spans="2:2" ht="14.25" customHeight="1">
      <c r="B864" s="25"/>
    </row>
    <row r="865" spans="2:2" ht="14.25" customHeight="1">
      <c r="B865" s="25"/>
    </row>
    <row r="866" spans="2:2" ht="14.25" customHeight="1">
      <c r="B866" s="25"/>
    </row>
    <row r="867" spans="2:2" ht="14.25" customHeight="1">
      <c r="B867" s="25"/>
    </row>
    <row r="868" spans="2:2" ht="14.25" customHeight="1">
      <c r="B868" s="25"/>
    </row>
    <row r="869" spans="2:2" ht="14.25" customHeight="1">
      <c r="B869" s="25"/>
    </row>
    <row r="870" spans="2:2" ht="14.25" customHeight="1">
      <c r="B870" s="25"/>
    </row>
    <row r="871" spans="2:2" ht="14.25" customHeight="1">
      <c r="B871" s="25"/>
    </row>
    <row r="872" spans="2:2" ht="14.25" customHeight="1">
      <c r="B872" s="25"/>
    </row>
    <row r="873" spans="2:2" ht="14.25" customHeight="1">
      <c r="B873" s="25"/>
    </row>
    <row r="874" spans="2:2" ht="14.25" customHeight="1">
      <c r="B874" s="25"/>
    </row>
    <row r="875" spans="2:2" ht="14.25" customHeight="1">
      <c r="B875" s="25"/>
    </row>
    <row r="876" spans="2:2" ht="14.25" customHeight="1">
      <c r="B876" s="25"/>
    </row>
    <row r="877" spans="2:2" ht="14.25" customHeight="1">
      <c r="B877" s="25"/>
    </row>
    <row r="878" spans="2:2" ht="14.25" customHeight="1">
      <c r="B878" s="25"/>
    </row>
    <row r="879" spans="2:2" ht="14.25" customHeight="1">
      <c r="B879" s="25"/>
    </row>
    <row r="880" spans="2:2" ht="14.25" customHeight="1">
      <c r="B880" s="25"/>
    </row>
    <row r="881" spans="2:2" ht="14.25" customHeight="1">
      <c r="B881" s="25"/>
    </row>
    <row r="882" spans="2:2" ht="14.25" customHeight="1">
      <c r="B882" s="25"/>
    </row>
    <row r="883" spans="2:2" ht="14.25" customHeight="1">
      <c r="B883" s="25"/>
    </row>
    <row r="884" spans="2:2" ht="14.25" customHeight="1">
      <c r="B884" s="25"/>
    </row>
    <row r="885" spans="2:2" ht="14.25" customHeight="1">
      <c r="B885" s="25"/>
    </row>
    <row r="886" spans="2:2" ht="14.25" customHeight="1">
      <c r="B886" s="25"/>
    </row>
    <row r="887" spans="2:2" ht="14.25" customHeight="1">
      <c r="B887" s="25"/>
    </row>
    <row r="888" spans="2:2" ht="14.25" customHeight="1">
      <c r="B888" s="25"/>
    </row>
    <row r="889" spans="2:2" ht="14.25" customHeight="1">
      <c r="B889" s="25"/>
    </row>
    <row r="890" spans="2:2" ht="14.25" customHeight="1">
      <c r="B890" s="25"/>
    </row>
    <row r="891" spans="2:2" ht="14.25" customHeight="1">
      <c r="B891" s="25"/>
    </row>
    <row r="892" spans="2:2" ht="14.25" customHeight="1">
      <c r="B892" s="25"/>
    </row>
    <row r="893" spans="2:2" ht="14.25" customHeight="1">
      <c r="B893" s="25"/>
    </row>
    <row r="894" spans="2:2" ht="14.25" customHeight="1">
      <c r="B894" s="25"/>
    </row>
    <row r="895" spans="2:2" ht="14.25" customHeight="1">
      <c r="B895" s="25"/>
    </row>
    <row r="896" spans="2:2" ht="14.25" customHeight="1">
      <c r="B896" s="25"/>
    </row>
    <row r="897" spans="2:2" ht="14.25" customHeight="1">
      <c r="B897" s="25"/>
    </row>
    <row r="898" spans="2:2" ht="14.25" customHeight="1">
      <c r="B898" s="25"/>
    </row>
    <row r="899" spans="2:2" ht="14.25" customHeight="1">
      <c r="B899" s="25"/>
    </row>
    <row r="900" spans="2:2" ht="14.25" customHeight="1">
      <c r="B900" s="25"/>
    </row>
    <row r="901" spans="2:2" ht="14.25" customHeight="1">
      <c r="B901" s="25"/>
    </row>
    <row r="902" spans="2:2" ht="14.25" customHeight="1">
      <c r="B902" s="25"/>
    </row>
    <row r="903" spans="2:2" ht="14.25" customHeight="1">
      <c r="B903" s="25"/>
    </row>
    <row r="904" spans="2:2" ht="14.25" customHeight="1">
      <c r="B904" s="25"/>
    </row>
    <row r="905" spans="2:2" ht="14.25" customHeight="1">
      <c r="B905" s="25"/>
    </row>
    <row r="906" spans="2:2" ht="14.25" customHeight="1">
      <c r="B906" s="25"/>
    </row>
    <row r="907" spans="2:2" ht="14.25" customHeight="1">
      <c r="B907" s="25"/>
    </row>
    <row r="908" spans="2:2" ht="14.25" customHeight="1">
      <c r="B908" s="25"/>
    </row>
    <row r="909" spans="2:2" ht="14.25" customHeight="1">
      <c r="B909" s="25"/>
    </row>
    <row r="910" spans="2:2" ht="14.25" customHeight="1">
      <c r="B910" s="25"/>
    </row>
    <row r="911" spans="2:2" ht="14.25" customHeight="1">
      <c r="B911" s="25"/>
    </row>
    <row r="912" spans="2:2" ht="14.25" customHeight="1">
      <c r="B912" s="25"/>
    </row>
    <row r="913" spans="2:2" ht="14.25" customHeight="1">
      <c r="B913" s="25"/>
    </row>
    <row r="914" spans="2:2" ht="14.25" customHeight="1">
      <c r="B914" s="25"/>
    </row>
    <row r="915" spans="2:2" ht="14.25" customHeight="1">
      <c r="B915" s="25"/>
    </row>
    <row r="916" spans="2:2" ht="14.25" customHeight="1">
      <c r="B916" s="25"/>
    </row>
    <row r="917" spans="2:2" ht="14.25" customHeight="1">
      <c r="B917" s="25"/>
    </row>
    <row r="918" spans="2:2" ht="14.25" customHeight="1">
      <c r="B918" s="25"/>
    </row>
    <row r="919" spans="2:2" ht="14.25" customHeight="1">
      <c r="B919" s="25"/>
    </row>
    <row r="920" spans="2:2" ht="14.25" customHeight="1">
      <c r="B920" s="25"/>
    </row>
    <row r="921" spans="2:2" ht="14.25" customHeight="1">
      <c r="B921" s="25"/>
    </row>
    <row r="922" spans="2:2" ht="14.25" customHeight="1">
      <c r="B922" s="25"/>
    </row>
    <row r="923" spans="2:2" ht="14.25" customHeight="1">
      <c r="B923" s="25"/>
    </row>
    <row r="924" spans="2:2" ht="14.25" customHeight="1">
      <c r="B924" s="25"/>
    </row>
    <row r="925" spans="2:2" ht="14.25" customHeight="1">
      <c r="B925" s="25"/>
    </row>
    <row r="926" spans="2:2" ht="14.25" customHeight="1">
      <c r="B926" s="25"/>
    </row>
    <row r="927" spans="2:2" ht="14.25" customHeight="1">
      <c r="B927" s="25"/>
    </row>
    <row r="928" spans="2:2" ht="14.25" customHeight="1">
      <c r="B928" s="25"/>
    </row>
    <row r="929" spans="2:2" ht="14.25" customHeight="1">
      <c r="B929" s="25"/>
    </row>
    <row r="930" spans="2:2" ht="14.25" customHeight="1">
      <c r="B930" s="25"/>
    </row>
    <row r="931" spans="2:2" ht="14.25" customHeight="1">
      <c r="B931" s="25"/>
    </row>
    <row r="932" spans="2:2" ht="14.25" customHeight="1">
      <c r="B932" s="25"/>
    </row>
    <row r="933" spans="2:2" ht="14.25" customHeight="1">
      <c r="B933" s="25"/>
    </row>
    <row r="934" spans="2:2" ht="14.25" customHeight="1">
      <c r="B934" s="25"/>
    </row>
    <row r="935" spans="2:2" ht="14.25" customHeight="1">
      <c r="B935" s="25"/>
    </row>
    <row r="936" spans="2:2" ht="14.25" customHeight="1">
      <c r="B936" s="25"/>
    </row>
    <row r="937" spans="2:2" ht="14.25" customHeight="1">
      <c r="B937" s="25"/>
    </row>
    <row r="938" spans="2:2" ht="14.25" customHeight="1">
      <c r="B938" s="25"/>
    </row>
    <row r="939" spans="2:2" ht="14.25" customHeight="1">
      <c r="B939" s="25"/>
    </row>
    <row r="940" spans="2:2" ht="14.25" customHeight="1">
      <c r="B940" s="25"/>
    </row>
    <row r="941" spans="2:2" ht="14.25" customHeight="1">
      <c r="B941" s="25"/>
    </row>
    <row r="942" spans="2:2" ht="14.25" customHeight="1">
      <c r="B942" s="25"/>
    </row>
    <row r="943" spans="2:2" ht="14.25" customHeight="1">
      <c r="B943" s="25"/>
    </row>
    <row r="944" spans="2:2" ht="14.25" customHeight="1">
      <c r="B944" s="25"/>
    </row>
    <row r="945" spans="2:2" ht="14.25" customHeight="1">
      <c r="B945" s="25"/>
    </row>
    <row r="946" spans="2:2" ht="14.25" customHeight="1">
      <c r="B946" s="25"/>
    </row>
    <row r="947" spans="2:2" ht="14.25" customHeight="1">
      <c r="B947" s="25"/>
    </row>
    <row r="948" spans="2:2" ht="14.25" customHeight="1">
      <c r="B948" s="25"/>
    </row>
    <row r="949" spans="2:2" ht="14.25" customHeight="1">
      <c r="B949" s="25"/>
    </row>
    <row r="950" spans="2:2" ht="14.25" customHeight="1">
      <c r="B950" s="25"/>
    </row>
    <row r="951" spans="2:2" ht="14.25" customHeight="1">
      <c r="B951" s="25"/>
    </row>
    <row r="952" spans="2:2" ht="14.25" customHeight="1">
      <c r="B952" s="25"/>
    </row>
    <row r="953" spans="2:2" ht="14.25" customHeight="1">
      <c r="B953" s="25"/>
    </row>
    <row r="954" spans="2:2" ht="14.25" customHeight="1">
      <c r="B954" s="25"/>
    </row>
    <row r="955" spans="2:2" ht="14.25" customHeight="1">
      <c r="B955" s="25"/>
    </row>
    <row r="956" spans="2:2" ht="14.25" customHeight="1">
      <c r="B956" s="25"/>
    </row>
    <row r="957" spans="2:2" ht="14.25" customHeight="1">
      <c r="B957" s="25"/>
    </row>
    <row r="958" spans="2:2" ht="14.25" customHeight="1">
      <c r="B958" s="25"/>
    </row>
    <row r="959" spans="2:2" ht="14.25" customHeight="1">
      <c r="B959" s="25"/>
    </row>
    <row r="960" spans="2:2" ht="14.25" customHeight="1">
      <c r="B960" s="25"/>
    </row>
    <row r="961" spans="2:2" ht="14.25" customHeight="1">
      <c r="B961" s="25"/>
    </row>
    <row r="962" spans="2:2" ht="14.25" customHeight="1">
      <c r="B962" s="25"/>
    </row>
    <row r="963" spans="2:2" ht="14.25" customHeight="1">
      <c r="B963" s="25"/>
    </row>
    <row r="964" spans="2:2" ht="14.25" customHeight="1">
      <c r="B964" s="25"/>
    </row>
    <row r="965" spans="2:2" ht="14.25" customHeight="1">
      <c r="B965" s="25"/>
    </row>
    <row r="966" spans="2:2" ht="14.25" customHeight="1">
      <c r="B966" s="25"/>
    </row>
    <row r="967" spans="2:2" ht="14.25" customHeight="1">
      <c r="B967" s="25"/>
    </row>
    <row r="968" spans="2:2" ht="14.25" customHeight="1">
      <c r="B968" s="25"/>
    </row>
    <row r="969" spans="2:2" ht="14.25" customHeight="1">
      <c r="B969" s="25"/>
    </row>
    <row r="970" spans="2:2" ht="14.25" customHeight="1">
      <c r="B970" s="25"/>
    </row>
    <row r="971" spans="2:2" ht="14.25" customHeight="1">
      <c r="B971" s="25"/>
    </row>
    <row r="972" spans="2:2" ht="14.25" customHeight="1">
      <c r="B972" s="25"/>
    </row>
    <row r="973" spans="2:2" ht="14.25" customHeight="1">
      <c r="B973" s="25"/>
    </row>
    <row r="974" spans="2:2" ht="14.25" customHeight="1">
      <c r="B974" s="25"/>
    </row>
    <row r="975" spans="2:2" ht="14.25" customHeight="1">
      <c r="B975" s="25"/>
    </row>
    <row r="976" spans="2:2" ht="14.25" customHeight="1">
      <c r="B976" s="25"/>
    </row>
    <row r="977" spans="2:2" ht="14.25" customHeight="1">
      <c r="B977" s="25"/>
    </row>
    <row r="978" spans="2:2" ht="14.25" customHeight="1">
      <c r="B978" s="25"/>
    </row>
    <row r="979" spans="2:2" ht="14.25" customHeight="1">
      <c r="B979" s="25"/>
    </row>
    <row r="980" spans="2:2" ht="14.25" customHeight="1">
      <c r="B980" s="25"/>
    </row>
    <row r="981" spans="2:2" ht="14.25" customHeight="1">
      <c r="B981" s="25"/>
    </row>
    <row r="982" spans="2:2" ht="14.25" customHeight="1">
      <c r="B982" s="25"/>
    </row>
    <row r="983" spans="2:2" ht="14.25" customHeight="1">
      <c r="B983" s="25"/>
    </row>
    <row r="984" spans="2:2" ht="14.25" customHeight="1">
      <c r="B984" s="25"/>
    </row>
    <row r="985" spans="2:2" ht="14.25" customHeight="1">
      <c r="B985" s="25"/>
    </row>
    <row r="986" spans="2:2" ht="14.25" customHeight="1">
      <c r="B986" s="25"/>
    </row>
    <row r="987" spans="2:2" ht="14.25" customHeight="1">
      <c r="B987" s="25"/>
    </row>
    <row r="988" spans="2:2" ht="14.25" customHeight="1">
      <c r="B988" s="25"/>
    </row>
    <row r="989" spans="2:2" ht="14.25" customHeight="1">
      <c r="B989" s="25"/>
    </row>
    <row r="990" spans="2:2" ht="14.25" customHeight="1">
      <c r="B990" s="25"/>
    </row>
    <row r="991" spans="2:2" ht="14.25" customHeight="1">
      <c r="B991" s="25"/>
    </row>
    <row r="992" spans="2:2" ht="14.25" customHeight="1">
      <c r="B992" s="25"/>
    </row>
    <row r="993" spans="2:2" ht="14.25" customHeight="1">
      <c r="B993" s="25"/>
    </row>
    <row r="994" spans="2:2" ht="14.25" customHeight="1">
      <c r="B994" s="25"/>
    </row>
    <row r="995" spans="2:2" ht="14.25" customHeight="1">
      <c r="B995" s="25"/>
    </row>
    <row r="996" spans="2:2" ht="14.25" customHeight="1">
      <c r="B996" s="25"/>
    </row>
    <row r="997" spans="2:2" ht="14.25" customHeight="1">
      <c r="B997" s="25"/>
    </row>
    <row r="998" spans="2:2" ht="14.25" customHeight="1">
      <c r="B998" s="25"/>
    </row>
    <row r="999" spans="2:2" ht="14.25" customHeight="1">
      <c r="B999" s="25"/>
    </row>
    <row r="1000" spans="2:2" ht="14.25" customHeight="1">
      <c r="B1000" s="25"/>
    </row>
    <row r="1001" spans="2:2" ht="14.25" customHeight="1">
      <c r="B1001" s="25"/>
    </row>
    <row r="1002" spans="2:2" ht="14.25" customHeight="1">
      <c r="B1002" s="25"/>
    </row>
    <row r="1003" spans="2:2" ht="14.25" customHeight="1">
      <c r="B1003" s="25"/>
    </row>
    <row r="1004" spans="2:2" ht="14.25" customHeight="1">
      <c r="B1004" s="25"/>
    </row>
    <row r="1005" spans="2:2" ht="14.25" customHeight="1">
      <c r="B1005" s="25"/>
    </row>
    <row r="1006" spans="2:2" ht="14.25" customHeight="1">
      <c r="B1006" s="25"/>
    </row>
    <row r="1007" spans="2:2" ht="14.25" customHeight="1">
      <c r="B1007" s="25"/>
    </row>
    <row r="1008" spans="2:2" ht="14.25" customHeight="1">
      <c r="B1008" s="25"/>
    </row>
    <row r="1009" spans="2:2" ht="14.25" customHeight="1">
      <c r="B1009" s="25"/>
    </row>
    <row r="1010" spans="2:2" ht="14.25" customHeight="1">
      <c r="B1010" s="25"/>
    </row>
    <row r="1011" spans="2:2" ht="14.25" customHeight="1">
      <c r="B1011" s="25"/>
    </row>
    <row r="1012" spans="2:2" ht="14.25" customHeight="1">
      <c r="B1012" s="25"/>
    </row>
    <row r="1013" spans="2:2" ht="14.25" customHeight="1">
      <c r="B1013" s="25"/>
    </row>
    <row r="1014" spans="2:2" ht="14.25" customHeight="1">
      <c r="B1014" s="25"/>
    </row>
    <row r="1015" spans="2:2" ht="14.25" customHeight="1">
      <c r="B1015" s="25"/>
    </row>
    <row r="1016" spans="2:2" ht="14.25" customHeight="1">
      <c r="B1016" s="25"/>
    </row>
    <row r="1017" spans="2:2" ht="14.25" customHeight="1">
      <c r="B1017" s="25"/>
    </row>
    <row r="1018" spans="2:2" ht="14.25" customHeight="1">
      <c r="B1018" s="25"/>
    </row>
    <row r="1019" spans="2:2" ht="14.25" customHeight="1">
      <c r="B1019" s="25"/>
    </row>
  </sheetData>
  <mergeCells count="61">
    <mergeCell ref="C2:G2"/>
    <mergeCell ref="C3:G3"/>
    <mergeCell ref="C4:G4"/>
    <mergeCell ref="B5:C5"/>
    <mergeCell ref="M8:O8"/>
    <mergeCell ref="P8:P9"/>
    <mergeCell ref="C9:J9"/>
    <mergeCell ref="C11:E11"/>
    <mergeCell ref="C12:K12"/>
    <mergeCell ref="C32:K32"/>
    <mergeCell ref="C13:K13"/>
    <mergeCell ref="C14:K14"/>
    <mergeCell ref="C15:K15"/>
    <mergeCell ref="C16:K16"/>
    <mergeCell ref="C17:K17"/>
    <mergeCell ref="C18:K18"/>
    <mergeCell ref="C19:K19"/>
    <mergeCell ref="C20:K20"/>
    <mergeCell ref="C21:K21"/>
    <mergeCell ref="C22:K22"/>
    <mergeCell ref="C23:K23"/>
    <mergeCell ref="C33:K33"/>
    <mergeCell ref="C34:K34"/>
    <mergeCell ref="C35:K35"/>
    <mergeCell ref="C36:K36"/>
    <mergeCell ref="C37:K37"/>
    <mergeCell ref="C38:K38"/>
    <mergeCell ref="C39:K39"/>
    <mergeCell ref="C40:K40"/>
    <mergeCell ref="C41:K41"/>
    <mergeCell ref="C42:K42"/>
    <mergeCell ref="C43:K43"/>
    <mergeCell ref="C44:K44"/>
    <mergeCell ref="C45:K45"/>
    <mergeCell ref="C46:K46"/>
    <mergeCell ref="C47:K47"/>
    <mergeCell ref="C48:K48"/>
    <mergeCell ref="C49:K49"/>
    <mergeCell ref="C50:K50"/>
    <mergeCell ref="C61:K61"/>
    <mergeCell ref="C62:K62"/>
    <mergeCell ref="C51:K51"/>
    <mergeCell ref="C54:J54"/>
    <mergeCell ref="C56:E56"/>
    <mergeCell ref="C57:K57"/>
    <mergeCell ref="C58:K58"/>
    <mergeCell ref="C59:K59"/>
    <mergeCell ref="C60:K60"/>
    <mergeCell ref="C63:K63"/>
    <mergeCell ref="C64:K64"/>
    <mergeCell ref="C65:K65"/>
    <mergeCell ref="C66:K66"/>
    <mergeCell ref="C67:K67"/>
    <mergeCell ref="C31:K31"/>
    <mergeCell ref="C28:K28"/>
    <mergeCell ref="C29:K29"/>
    <mergeCell ref="C30:K30"/>
    <mergeCell ref="C24:K24"/>
    <mergeCell ref="C25:K25"/>
    <mergeCell ref="C26:K26"/>
    <mergeCell ref="C27:K27"/>
  </mergeCells>
  <hyperlinks>
    <hyperlink ref="T2" location="'REQ. NO FUN. GEN'!A1" display="Volver" xr:uid="{00000000-0004-0000-1100-000000000000}"/>
  </hyperlink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V1034"/>
  <sheetViews>
    <sheetView workbookViewId="0">
      <selection activeCell="I75" sqref="I75"/>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29" t="s">
        <v>327</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6" t="s">
        <v>608</v>
      </c>
      <c r="D12" s="121"/>
      <c r="E12" s="121"/>
      <c r="F12" s="121"/>
      <c r="G12" s="121"/>
      <c r="H12" s="121"/>
      <c r="I12" s="121"/>
      <c r="J12" s="121"/>
      <c r="K12" s="122"/>
      <c r="L12" s="38"/>
      <c r="M12" s="62" t="s">
        <v>45</v>
      </c>
      <c r="N12" s="54"/>
      <c r="O12" s="54"/>
      <c r="P12" s="55"/>
    </row>
    <row r="13" spans="2:22" ht="30" customHeight="1">
      <c r="B13" s="58">
        <v>2</v>
      </c>
      <c r="C13" s="126" t="s">
        <v>609</v>
      </c>
      <c r="D13" s="121"/>
      <c r="E13" s="121"/>
      <c r="F13" s="121"/>
      <c r="G13" s="121"/>
      <c r="H13" s="121"/>
      <c r="I13" s="121"/>
      <c r="J13" s="121"/>
      <c r="K13" s="122"/>
      <c r="L13" s="59"/>
      <c r="M13" s="62" t="s">
        <v>45</v>
      </c>
      <c r="N13" s="54"/>
      <c r="O13" s="54"/>
      <c r="P13" s="57"/>
    </row>
    <row r="14" spans="2:22" ht="30" customHeight="1">
      <c r="B14" s="58">
        <v>3</v>
      </c>
      <c r="C14" s="126" t="s">
        <v>610</v>
      </c>
      <c r="D14" s="121"/>
      <c r="E14" s="121"/>
      <c r="F14" s="121"/>
      <c r="G14" s="121"/>
      <c r="H14" s="121"/>
      <c r="I14" s="121"/>
      <c r="J14" s="121"/>
      <c r="K14" s="122"/>
      <c r="L14" s="59"/>
      <c r="M14" s="62" t="s">
        <v>45</v>
      </c>
      <c r="N14" s="54"/>
      <c r="O14" s="54"/>
      <c r="P14" s="57"/>
    </row>
    <row r="15" spans="2:22" ht="30" customHeight="1">
      <c r="B15" s="37">
        <v>4</v>
      </c>
      <c r="C15" s="126" t="s">
        <v>611</v>
      </c>
      <c r="D15" s="121"/>
      <c r="E15" s="121"/>
      <c r="F15" s="121"/>
      <c r="G15" s="121"/>
      <c r="H15" s="121"/>
      <c r="I15" s="121"/>
      <c r="J15" s="121"/>
      <c r="K15" s="122"/>
      <c r="L15" s="59"/>
      <c r="M15" s="62" t="s">
        <v>45</v>
      </c>
      <c r="N15" s="54"/>
      <c r="O15" s="54"/>
      <c r="P15" s="57"/>
    </row>
    <row r="16" spans="2:22" ht="30" customHeight="1">
      <c r="B16" s="58">
        <v>5</v>
      </c>
      <c r="C16" s="126" t="s">
        <v>612</v>
      </c>
      <c r="D16" s="121"/>
      <c r="E16" s="121"/>
      <c r="F16" s="121"/>
      <c r="G16" s="121"/>
      <c r="H16" s="121"/>
      <c r="I16" s="121"/>
      <c r="J16" s="121"/>
      <c r="K16" s="122"/>
      <c r="L16" s="59"/>
      <c r="M16" s="62" t="s">
        <v>45</v>
      </c>
      <c r="N16" s="54"/>
      <c r="O16" s="54"/>
      <c r="P16" s="57"/>
    </row>
    <row r="17" spans="2:16" ht="30" customHeight="1">
      <c r="B17" s="58">
        <v>6</v>
      </c>
      <c r="C17" s="126" t="s">
        <v>613</v>
      </c>
      <c r="D17" s="121"/>
      <c r="E17" s="121"/>
      <c r="F17" s="121"/>
      <c r="G17" s="121"/>
      <c r="H17" s="121"/>
      <c r="I17" s="121"/>
      <c r="J17" s="121"/>
      <c r="K17" s="122"/>
      <c r="L17" s="59"/>
      <c r="M17" s="62" t="s">
        <v>45</v>
      </c>
      <c r="N17" s="54"/>
      <c r="O17" s="54"/>
      <c r="P17" s="57"/>
    </row>
    <row r="18" spans="2:16" ht="30" customHeight="1">
      <c r="B18" s="37">
        <v>7</v>
      </c>
      <c r="C18" s="126" t="s">
        <v>614</v>
      </c>
      <c r="D18" s="121"/>
      <c r="E18" s="121"/>
      <c r="F18" s="121"/>
      <c r="G18" s="121"/>
      <c r="H18" s="121"/>
      <c r="I18" s="121"/>
      <c r="J18" s="121"/>
      <c r="K18" s="122"/>
      <c r="L18" s="59"/>
      <c r="M18" s="62" t="s">
        <v>45</v>
      </c>
      <c r="N18" s="54"/>
      <c r="O18" s="54"/>
      <c r="P18" s="57"/>
    </row>
    <row r="19" spans="2:16" ht="30" customHeight="1">
      <c r="B19" s="58">
        <v>8</v>
      </c>
      <c r="C19" s="126" t="s">
        <v>615</v>
      </c>
      <c r="D19" s="121"/>
      <c r="E19" s="121"/>
      <c r="F19" s="121"/>
      <c r="G19" s="121"/>
      <c r="H19" s="121"/>
      <c r="I19" s="121"/>
      <c r="J19" s="121"/>
      <c r="K19" s="122"/>
      <c r="L19" s="59"/>
      <c r="M19" s="62" t="s">
        <v>45</v>
      </c>
      <c r="N19" s="54"/>
      <c r="O19" s="54"/>
      <c r="P19" s="57"/>
    </row>
    <row r="20" spans="2:16" ht="30" customHeight="1">
      <c r="B20" s="58">
        <v>9</v>
      </c>
      <c r="C20" s="126" t="s">
        <v>616</v>
      </c>
      <c r="D20" s="121"/>
      <c r="E20" s="121"/>
      <c r="F20" s="121"/>
      <c r="G20" s="121"/>
      <c r="H20" s="121"/>
      <c r="I20" s="121"/>
      <c r="J20" s="121"/>
      <c r="K20" s="122"/>
      <c r="L20" s="59"/>
      <c r="M20" s="62" t="s">
        <v>45</v>
      </c>
      <c r="N20" s="54"/>
      <c r="O20" s="54"/>
      <c r="P20" s="57"/>
    </row>
    <row r="21" spans="2:16" ht="30" customHeight="1">
      <c r="B21" s="37">
        <v>10</v>
      </c>
      <c r="C21" s="126" t="s">
        <v>617</v>
      </c>
      <c r="D21" s="121"/>
      <c r="E21" s="121"/>
      <c r="F21" s="121"/>
      <c r="G21" s="121"/>
      <c r="H21" s="121"/>
      <c r="I21" s="121"/>
      <c r="J21" s="121"/>
      <c r="K21" s="122"/>
      <c r="L21" s="59"/>
      <c r="M21" s="62" t="s">
        <v>45</v>
      </c>
      <c r="N21" s="54"/>
      <c r="O21" s="54"/>
      <c r="P21" s="57"/>
    </row>
    <row r="22" spans="2:16" ht="30" customHeight="1">
      <c r="B22" s="58">
        <v>11</v>
      </c>
      <c r="C22" s="126" t="s">
        <v>618</v>
      </c>
      <c r="D22" s="121"/>
      <c r="E22" s="121"/>
      <c r="F22" s="121"/>
      <c r="G22" s="121"/>
      <c r="H22" s="121"/>
      <c r="I22" s="121"/>
      <c r="J22" s="121"/>
      <c r="K22" s="122"/>
      <c r="L22" s="59"/>
      <c r="M22" s="62" t="s">
        <v>45</v>
      </c>
      <c r="N22" s="54"/>
      <c r="O22" s="54"/>
      <c r="P22" s="57"/>
    </row>
    <row r="23" spans="2:16" ht="30" customHeight="1">
      <c r="B23" s="58">
        <v>12</v>
      </c>
      <c r="C23" s="126" t="s">
        <v>619</v>
      </c>
      <c r="D23" s="121"/>
      <c r="E23" s="121"/>
      <c r="F23" s="121"/>
      <c r="G23" s="121"/>
      <c r="H23" s="121"/>
      <c r="I23" s="121"/>
      <c r="J23" s="121"/>
      <c r="K23" s="122"/>
      <c r="L23" s="59"/>
      <c r="M23" s="62" t="s">
        <v>45</v>
      </c>
      <c r="N23" s="54"/>
      <c r="O23" s="54"/>
      <c r="P23" s="57"/>
    </row>
    <row r="24" spans="2:16" ht="30" customHeight="1">
      <c r="B24" s="37">
        <v>13</v>
      </c>
      <c r="C24" s="126" t="s">
        <v>620</v>
      </c>
      <c r="D24" s="121"/>
      <c r="E24" s="121"/>
      <c r="F24" s="121"/>
      <c r="G24" s="121"/>
      <c r="H24" s="121"/>
      <c r="I24" s="121"/>
      <c r="J24" s="121"/>
      <c r="K24" s="122"/>
      <c r="L24" s="59"/>
      <c r="M24" s="62" t="s">
        <v>45</v>
      </c>
      <c r="N24" s="54"/>
      <c r="O24" s="54"/>
      <c r="P24" s="57"/>
    </row>
    <row r="25" spans="2:16" ht="30" customHeight="1">
      <c r="B25" s="58">
        <v>14</v>
      </c>
      <c r="C25" s="126" t="s">
        <v>621</v>
      </c>
      <c r="D25" s="121"/>
      <c r="E25" s="121"/>
      <c r="F25" s="121"/>
      <c r="G25" s="121"/>
      <c r="H25" s="121"/>
      <c r="I25" s="121"/>
      <c r="J25" s="121"/>
      <c r="K25" s="122"/>
      <c r="L25" s="59"/>
      <c r="M25" s="62" t="s">
        <v>45</v>
      </c>
      <c r="N25" s="54"/>
      <c r="O25" s="54"/>
      <c r="P25" s="57"/>
    </row>
    <row r="26" spans="2:16" ht="30" customHeight="1">
      <c r="B26" s="58">
        <v>15</v>
      </c>
      <c r="C26" s="126" t="s">
        <v>622</v>
      </c>
      <c r="D26" s="121"/>
      <c r="E26" s="121"/>
      <c r="F26" s="121"/>
      <c r="G26" s="121"/>
      <c r="H26" s="121"/>
      <c r="I26" s="121"/>
      <c r="J26" s="121"/>
      <c r="K26" s="122"/>
      <c r="L26" s="59"/>
      <c r="M26" s="62" t="s">
        <v>45</v>
      </c>
      <c r="N26" s="54"/>
      <c r="O26" s="54"/>
      <c r="P26" s="57"/>
    </row>
    <row r="27" spans="2:16" ht="30" customHeight="1">
      <c r="B27" s="37">
        <v>16</v>
      </c>
      <c r="C27" s="126" t="s">
        <v>624</v>
      </c>
      <c r="D27" s="121"/>
      <c r="E27" s="121"/>
      <c r="F27" s="121"/>
      <c r="G27" s="121"/>
      <c r="H27" s="121"/>
      <c r="I27" s="121"/>
      <c r="J27" s="121"/>
      <c r="K27" s="122"/>
      <c r="L27" s="59"/>
      <c r="M27" s="62" t="s">
        <v>45</v>
      </c>
      <c r="N27" s="54"/>
      <c r="O27" s="54"/>
      <c r="P27" s="57"/>
    </row>
    <row r="28" spans="2:16" ht="30" customHeight="1">
      <c r="B28" s="58">
        <v>17</v>
      </c>
      <c r="C28" s="126" t="s">
        <v>623</v>
      </c>
      <c r="D28" s="121"/>
      <c r="E28" s="121"/>
      <c r="F28" s="121"/>
      <c r="G28" s="121"/>
      <c r="H28" s="121"/>
      <c r="I28" s="121"/>
      <c r="J28" s="121"/>
      <c r="K28" s="122"/>
      <c r="L28" s="59"/>
      <c r="M28" s="62" t="s">
        <v>45</v>
      </c>
      <c r="N28" s="54"/>
      <c r="O28" s="54"/>
      <c r="P28" s="57"/>
    </row>
    <row r="29" spans="2:16" ht="30" customHeight="1">
      <c r="B29" s="58">
        <v>18</v>
      </c>
      <c r="C29" s="126" t="s">
        <v>625</v>
      </c>
      <c r="D29" s="121"/>
      <c r="E29" s="121"/>
      <c r="F29" s="121"/>
      <c r="G29" s="121"/>
      <c r="H29" s="121"/>
      <c r="I29" s="121"/>
      <c r="J29" s="121"/>
      <c r="K29" s="122"/>
      <c r="L29" s="59"/>
      <c r="M29" s="62" t="s">
        <v>45</v>
      </c>
      <c r="N29" s="54"/>
      <c r="O29" s="54"/>
      <c r="P29" s="57"/>
    </row>
    <row r="30" spans="2:16" ht="30" customHeight="1">
      <c r="B30" s="37">
        <v>19</v>
      </c>
      <c r="C30" s="126" t="s">
        <v>626</v>
      </c>
      <c r="D30" s="121"/>
      <c r="E30" s="121"/>
      <c r="F30" s="121"/>
      <c r="G30" s="121"/>
      <c r="H30" s="121"/>
      <c r="I30" s="121"/>
      <c r="J30" s="121"/>
      <c r="K30" s="122"/>
      <c r="L30" s="59"/>
      <c r="M30" s="62" t="s">
        <v>45</v>
      </c>
      <c r="N30" s="54"/>
      <c r="O30" s="54"/>
      <c r="P30" s="57"/>
    </row>
    <row r="31" spans="2:16" ht="30" customHeight="1">
      <c r="B31" s="58">
        <v>20</v>
      </c>
      <c r="C31" s="126" t="s">
        <v>627</v>
      </c>
      <c r="D31" s="121"/>
      <c r="E31" s="121"/>
      <c r="F31" s="121"/>
      <c r="G31" s="121"/>
      <c r="H31" s="121"/>
      <c r="I31" s="121"/>
      <c r="J31" s="121"/>
      <c r="K31" s="122"/>
      <c r="L31" s="59"/>
      <c r="M31" s="53" t="s">
        <v>45</v>
      </c>
      <c r="N31" s="54"/>
      <c r="O31" s="54"/>
      <c r="P31" s="57"/>
    </row>
    <row r="32" spans="2:16" ht="30" customHeight="1">
      <c r="B32" s="58">
        <v>21</v>
      </c>
      <c r="C32" s="126" t="s">
        <v>628</v>
      </c>
      <c r="D32" s="121"/>
      <c r="E32" s="121"/>
      <c r="F32" s="121"/>
      <c r="G32" s="121"/>
      <c r="H32" s="121"/>
      <c r="I32" s="121"/>
      <c r="J32" s="121"/>
      <c r="K32" s="122"/>
      <c r="L32" s="59"/>
      <c r="M32" s="53" t="s">
        <v>45</v>
      </c>
      <c r="N32" s="54"/>
      <c r="O32" s="54"/>
      <c r="P32" s="57"/>
    </row>
    <row r="33" spans="2:16" ht="30" customHeight="1">
      <c r="B33" s="37">
        <v>22</v>
      </c>
      <c r="C33" s="120" t="s">
        <v>629</v>
      </c>
      <c r="D33" s="121"/>
      <c r="E33" s="121"/>
      <c r="F33" s="121"/>
      <c r="G33" s="121"/>
      <c r="H33" s="121"/>
      <c r="I33" s="121"/>
      <c r="J33" s="121"/>
      <c r="K33" s="122"/>
      <c r="L33" s="59"/>
      <c r="M33" s="53" t="s">
        <v>45</v>
      </c>
      <c r="N33" s="54"/>
      <c r="O33" s="54"/>
      <c r="P33" s="57"/>
    </row>
    <row r="34" spans="2:16" ht="30" customHeight="1">
      <c r="B34" s="58">
        <v>23</v>
      </c>
      <c r="C34" s="120" t="s">
        <v>630</v>
      </c>
      <c r="D34" s="121"/>
      <c r="E34" s="121"/>
      <c r="F34" s="121"/>
      <c r="G34" s="121"/>
      <c r="H34" s="121"/>
      <c r="I34" s="121"/>
      <c r="J34" s="121"/>
      <c r="K34" s="122"/>
      <c r="L34" s="59"/>
      <c r="M34" s="53" t="s">
        <v>45</v>
      </c>
      <c r="N34" s="54"/>
      <c r="O34" s="54"/>
      <c r="P34" s="57"/>
    </row>
    <row r="35" spans="2:16" ht="30" customHeight="1">
      <c r="B35" s="58">
        <v>24</v>
      </c>
      <c r="C35" s="120" t="s">
        <v>631</v>
      </c>
      <c r="D35" s="121"/>
      <c r="E35" s="121"/>
      <c r="F35" s="121"/>
      <c r="G35" s="121"/>
      <c r="H35" s="121"/>
      <c r="I35" s="121"/>
      <c r="J35" s="121"/>
      <c r="K35" s="122"/>
      <c r="L35" s="59"/>
      <c r="M35" s="53" t="s">
        <v>45</v>
      </c>
      <c r="N35" s="54"/>
      <c r="O35" s="54"/>
      <c r="P35" s="57"/>
    </row>
    <row r="36" spans="2:16" ht="30" customHeight="1">
      <c r="B36" s="37">
        <v>25</v>
      </c>
      <c r="C36" s="120" t="s">
        <v>635</v>
      </c>
      <c r="D36" s="121"/>
      <c r="E36" s="121"/>
      <c r="F36" s="121"/>
      <c r="G36" s="121"/>
      <c r="H36" s="121"/>
      <c r="I36" s="121"/>
      <c r="J36" s="121"/>
      <c r="K36" s="122"/>
      <c r="L36" s="59"/>
      <c r="M36" s="53" t="s">
        <v>45</v>
      </c>
      <c r="N36" s="54"/>
      <c r="O36" s="54"/>
      <c r="P36" s="57"/>
    </row>
    <row r="37" spans="2:16" ht="30" customHeight="1">
      <c r="B37" s="58">
        <v>26</v>
      </c>
      <c r="C37" s="120" t="s">
        <v>632</v>
      </c>
      <c r="D37" s="121"/>
      <c r="E37" s="121"/>
      <c r="F37" s="121"/>
      <c r="G37" s="121"/>
      <c r="H37" s="121"/>
      <c r="I37" s="121"/>
      <c r="J37" s="121"/>
      <c r="K37" s="122"/>
      <c r="L37" s="59"/>
      <c r="M37" s="53" t="s">
        <v>45</v>
      </c>
      <c r="N37" s="54"/>
      <c r="O37" s="54"/>
      <c r="P37" s="57"/>
    </row>
    <row r="38" spans="2:16" ht="30" customHeight="1">
      <c r="B38" s="58">
        <v>27</v>
      </c>
      <c r="C38" s="120" t="s">
        <v>633</v>
      </c>
      <c r="D38" s="121"/>
      <c r="E38" s="121"/>
      <c r="F38" s="121"/>
      <c r="G38" s="121"/>
      <c r="H38" s="121"/>
      <c r="I38" s="121"/>
      <c r="J38" s="121"/>
      <c r="K38" s="122"/>
      <c r="L38" s="59"/>
      <c r="M38" s="53" t="s">
        <v>45</v>
      </c>
      <c r="N38" s="54"/>
      <c r="O38" s="54"/>
      <c r="P38" s="57"/>
    </row>
    <row r="39" spans="2:16" ht="30" customHeight="1">
      <c r="B39" s="37">
        <v>28</v>
      </c>
      <c r="C39" s="120" t="s">
        <v>634</v>
      </c>
      <c r="D39" s="121"/>
      <c r="E39" s="121"/>
      <c r="F39" s="121"/>
      <c r="G39" s="121"/>
      <c r="H39" s="121"/>
      <c r="I39" s="121"/>
      <c r="J39" s="121"/>
      <c r="K39" s="122"/>
      <c r="L39" s="59"/>
      <c r="M39" s="53" t="s">
        <v>45</v>
      </c>
      <c r="N39" s="54"/>
      <c r="O39" s="54"/>
      <c r="P39" s="57"/>
    </row>
    <row r="40" spans="2:16" ht="30" customHeight="1">
      <c r="B40" s="58">
        <v>29</v>
      </c>
      <c r="C40" s="120" t="s">
        <v>636</v>
      </c>
      <c r="D40" s="121"/>
      <c r="E40" s="121"/>
      <c r="F40" s="121"/>
      <c r="G40" s="121"/>
      <c r="H40" s="121"/>
      <c r="I40" s="121"/>
      <c r="J40" s="121"/>
      <c r="K40" s="122"/>
      <c r="L40" s="59"/>
      <c r="M40" s="53" t="s">
        <v>45</v>
      </c>
      <c r="N40" s="54"/>
      <c r="O40" s="54"/>
      <c r="P40" s="57"/>
    </row>
    <row r="41" spans="2:16" ht="30" customHeight="1">
      <c r="B41" s="58">
        <v>30</v>
      </c>
      <c r="C41" s="120" t="s">
        <v>637</v>
      </c>
      <c r="D41" s="121"/>
      <c r="E41" s="121"/>
      <c r="F41" s="121"/>
      <c r="G41" s="121"/>
      <c r="H41" s="121"/>
      <c r="I41" s="121"/>
      <c r="J41" s="121"/>
      <c r="K41" s="122"/>
      <c r="L41" s="59"/>
      <c r="M41" s="53" t="s">
        <v>45</v>
      </c>
      <c r="N41" s="54"/>
      <c r="O41" s="54"/>
      <c r="P41" s="57"/>
    </row>
    <row r="42" spans="2:16" ht="30" customHeight="1">
      <c r="B42" s="37">
        <v>31</v>
      </c>
      <c r="C42" s="120" t="s">
        <v>638</v>
      </c>
      <c r="D42" s="121"/>
      <c r="E42" s="121"/>
      <c r="F42" s="121"/>
      <c r="G42" s="121"/>
      <c r="H42" s="121"/>
      <c r="I42" s="121"/>
      <c r="J42" s="121"/>
      <c r="K42" s="122"/>
      <c r="L42" s="59"/>
      <c r="M42" s="53" t="s">
        <v>45</v>
      </c>
      <c r="N42" s="54"/>
      <c r="O42" s="54"/>
      <c r="P42" s="57"/>
    </row>
    <row r="43" spans="2:16" ht="30" customHeight="1">
      <c r="B43" s="58">
        <v>32</v>
      </c>
      <c r="C43" s="120" t="s">
        <v>639</v>
      </c>
      <c r="D43" s="121"/>
      <c r="E43" s="121"/>
      <c r="F43" s="121"/>
      <c r="G43" s="121"/>
      <c r="H43" s="121"/>
      <c r="I43" s="121"/>
      <c r="J43" s="121"/>
      <c r="K43" s="122"/>
      <c r="L43" s="59"/>
      <c r="M43" s="53" t="s">
        <v>45</v>
      </c>
      <c r="N43" s="54"/>
      <c r="O43" s="54"/>
      <c r="P43" s="57"/>
    </row>
    <row r="44" spans="2:16" ht="30" customHeight="1">
      <c r="B44" s="58">
        <v>33</v>
      </c>
      <c r="C44" s="120" t="s">
        <v>351</v>
      </c>
      <c r="D44" s="121"/>
      <c r="E44" s="121"/>
      <c r="F44" s="121"/>
      <c r="G44" s="121"/>
      <c r="H44" s="121"/>
      <c r="I44" s="121"/>
      <c r="J44" s="121"/>
      <c r="K44" s="122"/>
      <c r="L44" s="59"/>
      <c r="M44" s="62" t="s">
        <v>45</v>
      </c>
      <c r="N44" s="54"/>
      <c r="O44" s="54"/>
      <c r="P44" s="57"/>
    </row>
    <row r="45" spans="2:16" ht="30" customHeight="1">
      <c r="B45" s="37">
        <v>34</v>
      </c>
      <c r="C45" s="126" t="s">
        <v>993</v>
      </c>
      <c r="D45" s="121"/>
      <c r="E45" s="121"/>
      <c r="F45" s="121"/>
      <c r="G45" s="121"/>
      <c r="H45" s="121"/>
      <c r="I45" s="121"/>
      <c r="J45" s="121"/>
      <c r="K45" s="122"/>
      <c r="L45" s="59"/>
      <c r="M45" s="62" t="s">
        <v>45</v>
      </c>
      <c r="N45" s="54"/>
      <c r="O45" s="54"/>
      <c r="P45" s="57"/>
    </row>
    <row r="46" spans="2:16" ht="30" customHeight="1">
      <c r="B46" s="58">
        <v>35</v>
      </c>
      <c r="C46" s="126" t="s">
        <v>1050</v>
      </c>
      <c r="D46" s="121"/>
      <c r="E46" s="121"/>
      <c r="F46" s="121"/>
      <c r="G46" s="121"/>
      <c r="H46" s="121"/>
      <c r="I46" s="121"/>
      <c r="J46" s="121"/>
      <c r="K46" s="122"/>
      <c r="L46" s="59"/>
      <c r="M46" s="62" t="s">
        <v>45</v>
      </c>
      <c r="N46" s="54"/>
      <c r="O46" s="54"/>
      <c r="P46" s="57"/>
    </row>
    <row r="47" spans="2:16" ht="30" customHeight="1">
      <c r="B47" s="58">
        <v>36</v>
      </c>
      <c r="C47" s="126" t="s">
        <v>1051</v>
      </c>
      <c r="D47" s="121"/>
      <c r="E47" s="121"/>
      <c r="F47" s="121"/>
      <c r="G47" s="121"/>
      <c r="H47" s="121"/>
      <c r="I47" s="121"/>
      <c r="J47" s="121"/>
      <c r="K47" s="122"/>
      <c r="L47" s="59"/>
      <c r="M47" s="62" t="s">
        <v>45</v>
      </c>
      <c r="N47" s="54"/>
      <c r="O47" s="54"/>
      <c r="P47" s="57"/>
    </row>
    <row r="48" spans="2:16" ht="30" customHeight="1">
      <c r="B48" s="37">
        <v>37</v>
      </c>
      <c r="C48" s="126" t="s">
        <v>1052</v>
      </c>
      <c r="D48" s="121"/>
      <c r="E48" s="121"/>
      <c r="F48" s="121"/>
      <c r="G48" s="121"/>
      <c r="H48" s="121"/>
      <c r="I48" s="121"/>
      <c r="J48" s="121"/>
      <c r="K48" s="122"/>
      <c r="L48" s="59"/>
      <c r="M48" s="62" t="s">
        <v>45</v>
      </c>
      <c r="N48" s="54"/>
      <c r="O48" s="54"/>
      <c r="P48" s="57"/>
    </row>
    <row r="49" spans="2:18" ht="30" customHeight="1">
      <c r="B49" s="58">
        <v>38</v>
      </c>
      <c r="C49" s="126" t="s">
        <v>1053</v>
      </c>
      <c r="D49" s="121"/>
      <c r="E49" s="121"/>
      <c r="F49" s="121"/>
      <c r="G49" s="121"/>
      <c r="H49" s="121"/>
      <c r="I49" s="121"/>
      <c r="J49" s="121"/>
      <c r="K49" s="122"/>
      <c r="L49" s="59"/>
      <c r="M49" s="62" t="s">
        <v>45</v>
      </c>
      <c r="N49" s="54"/>
      <c r="O49" s="54"/>
      <c r="P49" s="57"/>
    </row>
    <row r="50" spans="2:18" ht="30" customHeight="1">
      <c r="B50" s="58">
        <v>39</v>
      </c>
      <c r="C50" s="126" t="s">
        <v>1054</v>
      </c>
      <c r="D50" s="121"/>
      <c r="E50" s="121"/>
      <c r="F50" s="121"/>
      <c r="G50" s="121"/>
      <c r="H50" s="121"/>
      <c r="I50" s="121"/>
      <c r="J50" s="121"/>
      <c r="K50" s="122"/>
      <c r="L50" s="59"/>
      <c r="M50" s="62" t="s">
        <v>45</v>
      </c>
      <c r="N50" s="54"/>
      <c r="O50" s="54"/>
      <c r="P50" s="57"/>
    </row>
    <row r="51" spans="2:18" ht="30" customHeight="1">
      <c r="B51" s="37">
        <v>40</v>
      </c>
      <c r="C51" s="120"/>
      <c r="D51" s="121"/>
      <c r="E51" s="121"/>
      <c r="F51" s="121"/>
      <c r="G51" s="121"/>
      <c r="H51" s="121"/>
      <c r="I51" s="121"/>
      <c r="J51" s="121"/>
      <c r="K51" s="122"/>
      <c r="L51" s="59"/>
      <c r="M51" s="53"/>
      <c r="N51" s="54"/>
      <c r="O51" s="54"/>
      <c r="P51" s="57"/>
    </row>
    <row r="52" spans="2:18" ht="14.25" customHeight="1"/>
    <row r="53" spans="2:18" ht="14.25" customHeight="1"/>
    <row r="54" spans="2:18" ht="14.25" customHeight="1">
      <c r="B54" s="31"/>
      <c r="C54" s="129" t="s">
        <v>328</v>
      </c>
      <c r="D54" s="130"/>
      <c r="E54" s="130"/>
      <c r="F54" s="130"/>
      <c r="G54" s="130"/>
      <c r="H54" s="130"/>
      <c r="I54" s="130"/>
      <c r="J54" s="131"/>
      <c r="K54" s="32"/>
    </row>
    <row r="55" spans="2:18" ht="14.25" customHeight="1"/>
    <row r="56" spans="2:18" ht="14.25" customHeight="1">
      <c r="B56" s="36"/>
      <c r="C56" s="132"/>
      <c r="D56" s="133"/>
      <c r="E56" s="134"/>
      <c r="F56" s="32"/>
      <c r="G56" s="32"/>
      <c r="H56" s="32"/>
      <c r="I56" s="32"/>
      <c r="J56" s="32"/>
      <c r="K56" s="32"/>
    </row>
    <row r="57" spans="2:18" ht="30" customHeight="1">
      <c r="B57" s="37">
        <v>1</v>
      </c>
      <c r="C57" s="120" t="s">
        <v>329</v>
      </c>
      <c r="D57" s="121"/>
      <c r="E57" s="121"/>
      <c r="F57" s="121"/>
      <c r="G57" s="121"/>
      <c r="H57" s="121"/>
      <c r="I57" s="121"/>
      <c r="J57" s="121"/>
      <c r="K57" s="122"/>
      <c r="L57" s="38"/>
      <c r="M57" s="53" t="s">
        <v>45</v>
      </c>
      <c r="N57" s="54"/>
      <c r="O57" s="54"/>
      <c r="P57" s="55"/>
    </row>
    <row r="58" spans="2:18" ht="30" customHeight="1">
      <c r="B58" s="31">
        <v>2</v>
      </c>
      <c r="C58" s="120" t="s">
        <v>330</v>
      </c>
      <c r="D58" s="121"/>
      <c r="E58" s="121"/>
      <c r="F58" s="121"/>
      <c r="G58" s="121"/>
      <c r="H58" s="121"/>
      <c r="I58" s="121"/>
      <c r="J58" s="121"/>
      <c r="K58" s="122"/>
      <c r="L58" s="40"/>
      <c r="M58" s="53" t="s">
        <v>45</v>
      </c>
      <c r="N58" s="54"/>
      <c r="O58" s="54"/>
      <c r="P58" s="55"/>
    </row>
    <row r="59" spans="2:18" ht="30" customHeight="1">
      <c r="B59" s="37">
        <v>3</v>
      </c>
      <c r="C59" s="120" t="s">
        <v>331</v>
      </c>
      <c r="D59" s="121"/>
      <c r="E59" s="121"/>
      <c r="F59" s="121"/>
      <c r="G59" s="121"/>
      <c r="H59" s="121"/>
      <c r="I59" s="121"/>
      <c r="J59" s="121"/>
      <c r="K59" s="122"/>
      <c r="M59" s="62" t="s">
        <v>45</v>
      </c>
      <c r="N59" s="54"/>
      <c r="O59" s="54"/>
      <c r="P59" s="55"/>
      <c r="R59" s="43"/>
    </row>
    <row r="60" spans="2:18" ht="30" customHeight="1">
      <c r="B60" s="37">
        <v>4</v>
      </c>
      <c r="C60" s="120" t="s">
        <v>332</v>
      </c>
      <c r="D60" s="121"/>
      <c r="E60" s="121"/>
      <c r="F60" s="121"/>
      <c r="G60" s="121"/>
      <c r="H60" s="121"/>
      <c r="I60" s="121"/>
      <c r="J60" s="121"/>
      <c r="K60" s="122"/>
      <c r="M60" s="53" t="s">
        <v>45</v>
      </c>
      <c r="N60" s="54"/>
      <c r="O60" s="54"/>
      <c r="P60" s="55"/>
    </row>
    <row r="61" spans="2:18" ht="30" customHeight="1">
      <c r="B61" s="37">
        <v>5</v>
      </c>
      <c r="C61" s="120" t="s">
        <v>333</v>
      </c>
      <c r="D61" s="121"/>
      <c r="E61" s="121"/>
      <c r="F61" s="121"/>
      <c r="G61" s="121"/>
      <c r="H61" s="121"/>
      <c r="I61" s="121"/>
      <c r="J61" s="121"/>
      <c r="K61" s="122"/>
      <c r="L61" s="38"/>
      <c r="M61" s="53" t="s">
        <v>45</v>
      </c>
      <c r="N61" s="54"/>
      <c r="O61" s="54"/>
      <c r="P61" s="55"/>
    </row>
    <row r="62" spans="2:18" ht="30" customHeight="1">
      <c r="B62" s="37">
        <v>6</v>
      </c>
      <c r="C62" s="120" t="s">
        <v>334</v>
      </c>
      <c r="D62" s="121"/>
      <c r="E62" s="121"/>
      <c r="F62" s="121"/>
      <c r="G62" s="121"/>
      <c r="H62" s="121"/>
      <c r="I62" s="121"/>
      <c r="J62" s="121"/>
      <c r="K62" s="122"/>
      <c r="L62" s="42"/>
      <c r="M62" s="53" t="s">
        <v>45</v>
      </c>
      <c r="N62" s="54"/>
      <c r="O62" s="54"/>
      <c r="P62" s="55"/>
    </row>
    <row r="63" spans="2:18" ht="30" customHeight="1">
      <c r="B63" s="31">
        <v>7</v>
      </c>
      <c r="C63" s="120" t="s">
        <v>335</v>
      </c>
      <c r="D63" s="121"/>
      <c r="E63" s="121"/>
      <c r="F63" s="121"/>
      <c r="G63" s="121"/>
      <c r="H63" s="121"/>
      <c r="I63" s="121"/>
      <c r="J63" s="121"/>
      <c r="K63" s="122"/>
      <c r="L63" s="42"/>
      <c r="M63" s="62" t="s">
        <v>45</v>
      </c>
      <c r="N63" s="54"/>
      <c r="O63" s="54"/>
      <c r="P63" s="55"/>
      <c r="R63" s="43"/>
    </row>
    <row r="64" spans="2:18" ht="30" customHeight="1">
      <c r="B64" s="37">
        <v>8</v>
      </c>
      <c r="C64" s="120" t="s">
        <v>336</v>
      </c>
      <c r="D64" s="121"/>
      <c r="E64" s="121"/>
      <c r="F64" s="121"/>
      <c r="G64" s="121"/>
      <c r="H64" s="121"/>
      <c r="I64" s="121"/>
      <c r="J64" s="121"/>
      <c r="K64" s="122"/>
      <c r="L64" s="42"/>
      <c r="M64" s="53" t="s">
        <v>45</v>
      </c>
      <c r="N64" s="54"/>
      <c r="O64" s="54"/>
      <c r="P64" s="55"/>
    </row>
    <row r="65" spans="2:16" ht="30" customHeight="1">
      <c r="B65" s="37">
        <v>9</v>
      </c>
      <c r="C65" s="120" t="s">
        <v>337</v>
      </c>
      <c r="D65" s="121"/>
      <c r="E65" s="121"/>
      <c r="F65" s="121"/>
      <c r="G65" s="121"/>
      <c r="H65" s="121"/>
      <c r="I65" s="121"/>
      <c r="J65" s="121"/>
      <c r="K65" s="122"/>
      <c r="L65" s="42"/>
      <c r="M65" s="53" t="s">
        <v>45</v>
      </c>
      <c r="N65" s="54"/>
      <c r="O65" s="54"/>
      <c r="P65" s="55"/>
    </row>
    <row r="66" spans="2:16" ht="30" customHeight="1">
      <c r="B66" s="37">
        <v>10</v>
      </c>
      <c r="C66" s="120" t="s">
        <v>338</v>
      </c>
      <c r="D66" s="121"/>
      <c r="E66" s="121"/>
      <c r="F66" s="121"/>
      <c r="G66" s="121"/>
      <c r="H66" s="121"/>
      <c r="I66" s="121"/>
      <c r="J66" s="121"/>
      <c r="K66" s="122"/>
      <c r="L66" s="42"/>
      <c r="M66" s="53" t="s">
        <v>45</v>
      </c>
      <c r="N66" s="54"/>
      <c r="O66" s="54"/>
      <c r="P66" s="55"/>
    </row>
    <row r="67" spans="2:16" ht="30" customHeight="1">
      <c r="B67" s="37">
        <v>11</v>
      </c>
      <c r="C67" s="120"/>
      <c r="D67" s="121"/>
      <c r="E67" s="121"/>
      <c r="F67" s="121"/>
      <c r="G67" s="121"/>
      <c r="H67" s="121"/>
      <c r="I67" s="121"/>
      <c r="J67" s="121"/>
      <c r="K67" s="122"/>
      <c r="L67" s="42"/>
      <c r="M67" s="53"/>
      <c r="N67" s="54"/>
      <c r="O67" s="54"/>
      <c r="P67" s="55"/>
    </row>
    <row r="68" spans="2:16" ht="30" customHeight="1">
      <c r="B68" s="31">
        <v>12</v>
      </c>
      <c r="C68" s="120"/>
      <c r="D68" s="121"/>
      <c r="E68" s="121"/>
      <c r="F68" s="121"/>
      <c r="G68" s="121"/>
      <c r="H68" s="121"/>
      <c r="I68" s="121"/>
      <c r="J68" s="121"/>
      <c r="K68" s="122"/>
      <c r="L68" s="42"/>
      <c r="M68" s="53"/>
      <c r="N68" s="54"/>
      <c r="O68" s="54"/>
      <c r="P68" s="55"/>
    </row>
    <row r="69" spans="2:16" ht="30" customHeight="1">
      <c r="B69" s="37">
        <v>13</v>
      </c>
      <c r="C69" s="120"/>
      <c r="D69" s="121"/>
      <c r="E69" s="121"/>
      <c r="F69" s="121"/>
      <c r="G69" s="121"/>
      <c r="H69" s="121"/>
      <c r="I69" s="121"/>
      <c r="J69" s="121"/>
      <c r="K69" s="122"/>
      <c r="L69" s="40"/>
      <c r="M69" s="53"/>
      <c r="N69" s="54"/>
      <c r="O69" s="54"/>
      <c r="P69" s="55"/>
    </row>
    <row r="70" spans="2:16" ht="14.25" customHeight="1"/>
    <row r="71" spans="2:16" ht="14.25" customHeight="1"/>
    <row r="72" spans="2:16" ht="14.25" customHeight="1"/>
    <row r="73" spans="2:16" ht="14.25" customHeight="1"/>
    <row r="74" spans="2:16" ht="14.25" customHeight="1"/>
    <row r="75" spans="2:16" ht="14.25" customHeight="1"/>
    <row r="76" spans="2:16" ht="14.25" customHeight="1"/>
    <row r="77" spans="2:16" ht="14.25" customHeight="1"/>
    <row r="78" spans="2:16" ht="14.25" customHeight="1"/>
    <row r="79" spans="2:16" ht="14.25" customHeight="1"/>
    <row r="80" spans="2:16"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sheetData>
  <mergeCells count="63">
    <mergeCell ref="C49:K49"/>
    <mergeCell ref="C50:K50"/>
    <mergeCell ref="C46:K46"/>
    <mergeCell ref="C47:K47"/>
    <mergeCell ref="C48:K48"/>
    <mergeCell ref="C51:K51"/>
    <mergeCell ref="C19:K19"/>
    <mergeCell ref="C20:K20"/>
    <mergeCell ref="C41:K41"/>
    <mergeCell ref="C42:K42"/>
    <mergeCell ref="C43:K43"/>
    <mergeCell ref="C44:K44"/>
    <mergeCell ref="C45:K45"/>
    <mergeCell ref="C36:K36"/>
    <mergeCell ref="C37:K37"/>
    <mergeCell ref="C38:K38"/>
    <mergeCell ref="C39:K39"/>
    <mergeCell ref="C40:K40"/>
    <mergeCell ref="C31:K31"/>
    <mergeCell ref="C32:K32"/>
    <mergeCell ref="C33:K33"/>
    <mergeCell ref="C34:K34"/>
    <mergeCell ref="C35:K35"/>
    <mergeCell ref="C26:K26"/>
    <mergeCell ref="C27:K27"/>
    <mergeCell ref="C28:K28"/>
    <mergeCell ref="C29:K29"/>
    <mergeCell ref="C30:K30"/>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18:K18"/>
    <mergeCell ref="C21:K21"/>
    <mergeCell ref="C22:K22"/>
    <mergeCell ref="C23:K23"/>
    <mergeCell ref="C24:K24"/>
    <mergeCell ref="C25:K25"/>
    <mergeCell ref="C62:K62"/>
    <mergeCell ref="C68:K68"/>
    <mergeCell ref="C69:K69"/>
    <mergeCell ref="C54:J54"/>
    <mergeCell ref="C56:E56"/>
    <mergeCell ref="C57:K57"/>
    <mergeCell ref="C58:K58"/>
    <mergeCell ref="C59:K59"/>
    <mergeCell ref="C60:K60"/>
    <mergeCell ref="C61:K61"/>
    <mergeCell ref="C63:K63"/>
    <mergeCell ref="C64:K64"/>
    <mergeCell ref="C65:K65"/>
    <mergeCell ref="C66:K66"/>
    <mergeCell ref="C67:K67"/>
  </mergeCells>
  <hyperlinks>
    <hyperlink ref="V2" location="'REQ. FUN. GEN'!A1" display="Volver" xr:uid="{00000000-0004-0000-1200-000000000000}"/>
  </hyperlink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B1030"/>
  <sheetViews>
    <sheetView topLeftCell="A39" workbookViewId="0">
      <selection activeCell="R53" sqref="R53"/>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29" t="s">
        <v>339</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6" t="s">
        <v>1008</v>
      </c>
      <c r="D12" s="121"/>
      <c r="E12" s="121"/>
      <c r="F12" s="121"/>
      <c r="G12" s="121"/>
      <c r="H12" s="121"/>
      <c r="I12" s="121"/>
      <c r="J12" s="121"/>
      <c r="K12" s="122"/>
      <c r="L12" s="38"/>
      <c r="M12" s="53" t="s">
        <v>45</v>
      </c>
      <c r="N12" s="54"/>
      <c r="O12" s="54"/>
      <c r="P12" s="55"/>
    </row>
    <row r="13" spans="2:22" ht="30" customHeight="1">
      <c r="B13" s="58">
        <v>2</v>
      </c>
      <c r="C13" s="126" t="s">
        <v>1009</v>
      </c>
      <c r="D13" s="121"/>
      <c r="E13" s="121"/>
      <c r="F13" s="121"/>
      <c r="G13" s="121"/>
      <c r="H13" s="121"/>
      <c r="I13" s="121"/>
      <c r="J13" s="121"/>
      <c r="K13" s="122"/>
      <c r="L13" s="59"/>
      <c r="M13" s="53" t="s">
        <v>45</v>
      </c>
      <c r="N13" s="54"/>
      <c r="O13" s="54"/>
      <c r="P13" s="57"/>
    </row>
    <row r="14" spans="2:22" ht="30" customHeight="1">
      <c r="B14" s="58">
        <v>3</v>
      </c>
      <c r="C14" s="126" t="s">
        <v>1010</v>
      </c>
      <c r="D14" s="121"/>
      <c r="E14" s="121"/>
      <c r="F14" s="121"/>
      <c r="G14" s="121"/>
      <c r="H14" s="121"/>
      <c r="I14" s="121"/>
      <c r="J14" s="121"/>
      <c r="K14" s="122"/>
      <c r="L14" s="59"/>
      <c r="M14" s="53" t="s">
        <v>45</v>
      </c>
      <c r="N14" s="54"/>
      <c r="O14" s="54"/>
      <c r="P14" s="57"/>
    </row>
    <row r="15" spans="2:22" ht="30" customHeight="1">
      <c r="B15" s="37">
        <v>4</v>
      </c>
      <c r="C15" s="126" t="s">
        <v>1011</v>
      </c>
      <c r="D15" s="121"/>
      <c r="E15" s="121"/>
      <c r="F15" s="121"/>
      <c r="G15" s="121"/>
      <c r="H15" s="121"/>
      <c r="I15" s="121"/>
      <c r="J15" s="121"/>
      <c r="K15" s="122"/>
      <c r="L15" s="59"/>
      <c r="M15" s="53" t="s">
        <v>45</v>
      </c>
      <c r="N15" s="54"/>
      <c r="O15" s="54"/>
      <c r="P15" s="57"/>
    </row>
    <row r="16" spans="2:22" ht="30" customHeight="1">
      <c r="B16" s="58">
        <v>5</v>
      </c>
      <c r="C16" s="126" t="s">
        <v>1012</v>
      </c>
      <c r="D16" s="121"/>
      <c r="E16" s="121"/>
      <c r="F16" s="121"/>
      <c r="G16" s="121"/>
      <c r="H16" s="121"/>
      <c r="I16" s="121"/>
      <c r="J16" s="121"/>
      <c r="K16" s="122"/>
      <c r="L16" s="59"/>
      <c r="M16" s="53" t="s">
        <v>45</v>
      </c>
      <c r="N16" s="54"/>
      <c r="O16" s="54"/>
      <c r="P16" s="57"/>
    </row>
    <row r="17" spans="2:16" ht="30" customHeight="1">
      <c r="B17" s="58">
        <v>6</v>
      </c>
      <c r="C17" s="126" t="s">
        <v>1013</v>
      </c>
      <c r="D17" s="121"/>
      <c r="E17" s="121"/>
      <c r="F17" s="121"/>
      <c r="G17" s="121"/>
      <c r="H17" s="121"/>
      <c r="I17" s="121"/>
      <c r="J17" s="121"/>
      <c r="K17" s="122"/>
      <c r="L17" s="59"/>
      <c r="M17" s="53" t="s">
        <v>45</v>
      </c>
      <c r="N17" s="54"/>
      <c r="O17" s="54"/>
      <c r="P17" s="57"/>
    </row>
    <row r="18" spans="2:16" ht="30" customHeight="1">
      <c r="B18" s="37">
        <v>7</v>
      </c>
      <c r="C18" s="126" t="s">
        <v>1017</v>
      </c>
      <c r="D18" s="121"/>
      <c r="E18" s="121"/>
      <c r="F18" s="121"/>
      <c r="G18" s="121"/>
      <c r="H18" s="121"/>
      <c r="I18" s="121"/>
      <c r="J18" s="121"/>
      <c r="K18" s="122"/>
      <c r="L18" s="59"/>
      <c r="M18" s="53" t="s">
        <v>45</v>
      </c>
      <c r="N18" s="54"/>
      <c r="O18" s="54"/>
      <c r="P18" s="57"/>
    </row>
    <row r="19" spans="2:16" ht="30" customHeight="1">
      <c r="B19" s="58">
        <v>8</v>
      </c>
      <c r="C19" s="126" t="s">
        <v>1014</v>
      </c>
      <c r="D19" s="121"/>
      <c r="E19" s="121"/>
      <c r="F19" s="121"/>
      <c r="G19" s="121"/>
      <c r="H19" s="121"/>
      <c r="I19" s="121"/>
      <c r="J19" s="121"/>
      <c r="K19" s="122"/>
      <c r="L19" s="59"/>
      <c r="M19" s="53" t="s">
        <v>45</v>
      </c>
      <c r="N19" s="54"/>
      <c r="O19" s="54"/>
      <c r="P19" s="57"/>
    </row>
    <row r="20" spans="2:16" ht="30" customHeight="1">
      <c r="B20" s="58">
        <v>9</v>
      </c>
      <c r="C20" s="126" t="s">
        <v>1015</v>
      </c>
      <c r="D20" s="121"/>
      <c r="E20" s="121"/>
      <c r="F20" s="121"/>
      <c r="G20" s="121"/>
      <c r="H20" s="121"/>
      <c r="I20" s="121"/>
      <c r="J20" s="121"/>
      <c r="K20" s="122"/>
      <c r="L20" s="59"/>
      <c r="M20" s="53" t="s">
        <v>45</v>
      </c>
      <c r="N20" s="54"/>
      <c r="O20" s="54"/>
      <c r="P20" s="57"/>
    </row>
    <row r="21" spans="2:16" ht="30" customHeight="1">
      <c r="B21" s="37">
        <v>10</v>
      </c>
      <c r="C21" s="126" t="s">
        <v>1016</v>
      </c>
      <c r="D21" s="121"/>
      <c r="E21" s="121"/>
      <c r="F21" s="121"/>
      <c r="G21" s="121"/>
      <c r="H21" s="121"/>
      <c r="I21" s="121"/>
      <c r="J21" s="121"/>
      <c r="K21" s="122"/>
      <c r="L21" s="59"/>
      <c r="M21" s="53" t="s">
        <v>45</v>
      </c>
      <c r="N21" s="54"/>
      <c r="O21" s="54"/>
      <c r="P21" s="57"/>
    </row>
    <row r="22" spans="2:16" ht="30" customHeight="1">
      <c r="B22" s="58">
        <v>11</v>
      </c>
      <c r="C22" s="126" t="s">
        <v>1018</v>
      </c>
      <c r="D22" s="121"/>
      <c r="E22" s="121"/>
      <c r="F22" s="121"/>
      <c r="G22" s="121"/>
      <c r="H22" s="121"/>
      <c r="I22" s="121"/>
      <c r="J22" s="121"/>
      <c r="K22" s="122"/>
      <c r="L22" s="59"/>
      <c r="M22" s="53" t="s">
        <v>45</v>
      </c>
      <c r="N22" s="54"/>
      <c r="O22" s="54"/>
      <c r="P22" s="57"/>
    </row>
    <row r="23" spans="2:16" ht="30" customHeight="1">
      <c r="B23" s="58">
        <v>12</v>
      </c>
      <c r="C23" s="126" t="s">
        <v>1019</v>
      </c>
      <c r="D23" s="121"/>
      <c r="E23" s="121"/>
      <c r="F23" s="121"/>
      <c r="G23" s="121"/>
      <c r="H23" s="121"/>
      <c r="I23" s="121"/>
      <c r="J23" s="121"/>
      <c r="K23" s="122"/>
      <c r="L23" s="59"/>
      <c r="M23" s="53" t="s">
        <v>45</v>
      </c>
      <c r="N23" s="54"/>
      <c r="O23" s="54"/>
      <c r="P23" s="57"/>
    </row>
    <row r="24" spans="2:16" ht="30" customHeight="1">
      <c r="B24" s="37">
        <v>13</v>
      </c>
      <c r="C24" s="126" t="s">
        <v>1020</v>
      </c>
      <c r="D24" s="121"/>
      <c r="E24" s="121"/>
      <c r="F24" s="121"/>
      <c r="G24" s="121"/>
      <c r="H24" s="121"/>
      <c r="I24" s="121"/>
      <c r="J24" s="121"/>
      <c r="K24" s="122"/>
      <c r="L24" s="59"/>
      <c r="M24" s="53" t="s">
        <v>45</v>
      </c>
      <c r="N24" s="54"/>
      <c r="O24" s="54"/>
      <c r="P24" s="57"/>
    </row>
    <row r="25" spans="2:16" ht="30" customHeight="1">
      <c r="B25" s="58">
        <v>14</v>
      </c>
      <c r="C25" s="126" t="s">
        <v>1021</v>
      </c>
      <c r="D25" s="121"/>
      <c r="E25" s="121"/>
      <c r="F25" s="121"/>
      <c r="G25" s="121"/>
      <c r="H25" s="121"/>
      <c r="I25" s="121"/>
      <c r="J25" s="121"/>
      <c r="K25" s="122"/>
      <c r="L25" s="59"/>
      <c r="M25" s="53" t="s">
        <v>45</v>
      </c>
      <c r="N25" s="54"/>
      <c r="O25" s="54"/>
      <c r="P25" s="57"/>
    </row>
    <row r="26" spans="2:16" ht="30" customHeight="1">
      <c r="B26" s="58">
        <v>15</v>
      </c>
      <c r="C26" s="126" t="s">
        <v>1022</v>
      </c>
      <c r="D26" s="121"/>
      <c r="E26" s="121"/>
      <c r="F26" s="121"/>
      <c r="G26" s="121"/>
      <c r="H26" s="121"/>
      <c r="I26" s="121"/>
      <c r="J26" s="121"/>
      <c r="K26" s="122"/>
      <c r="L26" s="59"/>
      <c r="M26" s="53" t="s">
        <v>45</v>
      </c>
      <c r="N26" s="54"/>
      <c r="O26" s="54"/>
      <c r="P26" s="57"/>
    </row>
    <row r="27" spans="2:16" ht="30" customHeight="1">
      <c r="B27" s="37">
        <v>16</v>
      </c>
      <c r="C27" s="126" t="s">
        <v>1023</v>
      </c>
      <c r="D27" s="121"/>
      <c r="E27" s="121"/>
      <c r="F27" s="121"/>
      <c r="G27" s="121"/>
      <c r="H27" s="121"/>
      <c r="I27" s="121"/>
      <c r="J27" s="121"/>
      <c r="K27" s="122"/>
      <c r="L27" s="59"/>
      <c r="M27" s="53" t="s">
        <v>45</v>
      </c>
      <c r="N27" s="54"/>
      <c r="O27" s="54"/>
      <c r="P27" s="57"/>
    </row>
    <row r="28" spans="2:16" ht="30" customHeight="1">
      <c r="B28" s="58">
        <v>17</v>
      </c>
      <c r="C28" s="126" t="s">
        <v>1024</v>
      </c>
      <c r="D28" s="121"/>
      <c r="E28" s="121"/>
      <c r="F28" s="121"/>
      <c r="G28" s="121"/>
      <c r="H28" s="121"/>
      <c r="I28" s="121"/>
      <c r="J28" s="121"/>
      <c r="K28" s="122"/>
      <c r="L28" s="59"/>
      <c r="M28" s="53" t="s">
        <v>45</v>
      </c>
      <c r="N28" s="54"/>
      <c r="O28" s="54"/>
      <c r="P28" s="57"/>
    </row>
    <row r="29" spans="2:16" ht="30" customHeight="1">
      <c r="B29" s="58">
        <v>18</v>
      </c>
      <c r="C29" s="126" t="s">
        <v>1025</v>
      </c>
      <c r="D29" s="121"/>
      <c r="E29" s="121"/>
      <c r="F29" s="121"/>
      <c r="G29" s="121"/>
      <c r="H29" s="121"/>
      <c r="I29" s="121"/>
      <c r="J29" s="121"/>
      <c r="K29" s="122"/>
      <c r="L29" s="59"/>
      <c r="M29" s="53" t="s">
        <v>45</v>
      </c>
      <c r="N29" s="54"/>
      <c r="O29" s="54"/>
      <c r="P29" s="57"/>
    </row>
    <row r="30" spans="2:16" ht="30" customHeight="1">
      <c r="B30" s="37">
        <v>19</v>
      </c>
      <c r="C30" s="126" t="s">
        <v>1026</v>
      </c>
      <c r="D30" s="121"/>
      <c r="E30" s="121"/>
      <c r="F30" s="121"/>
      <c r="G30" s="121"/>
      <c r="H30" s="121"/>
      <c r="I30" s="121"/>
      <c r="J30" s="121"/>
      <c r="K30" s="122"/>
      <c r="L30" s="59"/>
      <c r="M30" s="53" t="s">
        <v>45</v>
      </c>
      <c r="N30" s="54"/>
      <c r="O30" s="54"/>
      <c r="P30" s="57"/>
    </row>
    <row r="31" spans="2:16" ht="30" customHeight="1">
      <c r="B31" s="58">
        <v>20</v>
      </c>
      <c r="C31" s="126" t="s">
        <v>1027</v>
      </c>
      <c r="D31" s="121"/>
      <c r="E31" s="121"/>
      <c r="F31" s="121"/>
      <c r="G31" s="121"/>
      <c r="H31" s="121"/>
      <c r="I31" s="121"/>
      <c r="J31" s="121"/>
      <c r="K31" s="122"/>
      <c r="L31" s="59"/>
      <c r="M31" s="53" t="s">
        <v>45</v>
      </c>
      <c r="N31" s="54"/>
      <c r="O31" s="54"/>
      <c r="P31" s="57"/>
    </row>
    <row r="32" spans="2:16" ht="30" customHeight="1">
      <c r="B32" s="58">
        <v>21</v>
      </c>
      <c r="C32" s="126" t="s">
        <v>1028</v>
      </c>
      <c r="D32" s="121"/>
      <c r="E32" s="121"/>
      <c r="F32" s="121"/>
      <c r="G32" s="121"/>
      <c r="H32" s="121"/>
      <c r="I32" s="121"/>
      <c r="J32" s="121"/>
      <c r="K32" s="122"/>
      <c r="L32" s="59"/>
      <c r="M32" s="53" t="s">
        <v>45</v>
      </c>
      <c r="N32" s="54"/>
      <c r="O32" s="54"/>
      <c r="P32" s="57"/>
    </row>
    <row r="33" spans="2:16" ht="30" customHeight="1">
      <c r="B33" s="37">
        <v>22</v>
      </c>
      <c r="C33" s="126" t="s">
        <v>1029</v>
      </c>
      <c r="D33" s="121"/>
      <c r="E33" s="121"/>
      <c r="F33" s="121"/>
      <c r="G33" s="121"/>
      <c r="H33" s="121"/>
      <c r="I33" s="121"/>
      <c r="J33" s="121"/>
      <c r="K33" s="122"/>
      <c r="L33" s="59"/>
      <c r="M33" s="53" t="s">
        <v>45</v>
      </c>
      <c r="N33" s="54"/>
      <c r="O33" s="54"/>
      <c r="P33" s="57"/>
    </row>
    <row r="34" spans="2:16" ht="30" customHeight="1">
      <c r="B34" s="58">
        <v>23</v>
      </c>
      <c r="C34" s="126" t="s">
        <v>1030</v>
      </c>
      <c r="D34" s="121"/>
      <c r="E34" s="121"/>
      <c r="F34" s="121"/>
      <c r="G34" s="121"/>
      <c r="H34" s="121"/>
      <c r="I34" s="121"/>
      <c r="J34" s="121"/>
      <c r="K34" s="122"/>
      <c r="L34" s="59"/>
      <c r="M34" s="53" t="s">
        <v>45</v>
      </c>
      <c r="N34" s="54"/>
      <c r="O34" s="54"/>
      <c r="P34" s="57"/>
    </row>
    <row r="35" spans="2:16" ht="30" customHeight="1">
      <c r="B35" s="58">
        <v>24</v>
      </c>
      <c r="C35" s="126" t="s">
        <v>1031</v>
      </c>
      <c r="D35" s="121"/>
      <c r="E35" s="121"/>
      <c r="F35" s="121"/>
      <c r="G35" s="121"/>
      <c r="H35" s="121"/>
      <c r="I35" s="121"/>
      <c r="J35" s="121"/>
      <c r="K35" s="122"/>
      <c r="L35" s="59"/>
      <c r="M35" s="53" t="s">
        <v>45</v>
      </c>
      <c r="N35" s="54"/>
      <c r="O35" s="54"/>
      <c r="P35" s="57"/>
    </row>
    <row r="36" spans="2:16" ht="30" customHeight="1">
      <c r="B36" s="37">
        <v>25</v>
      </c>
      <c r="C36" s="126" t="s">
        <v>1032</v>
      </c>
      <c r="D36" s="121"/>
      <c r="E36" s="121"/>
      <c r="F36" s="121"/>
      <c r="G36" s="121"/>
      <c r="H36" s="121"/>
      <c r="I36" s="121"/>
      <c r="J36" s="121"/>
      <c r="K36" s="122"/>
      <c r="L36" s="59"/>
      <c r="M36" s="53" t="s">
        <v>45</v>
      </c>
      <c r="N36" s="54"/>
      <c r="O36" s="54"/>
      <c r="P36" s="57"/>
    </row>
    <row r="37" spans="2:16" ht="30" customHeight="1">
      <c r="B37" s="58">
        <v>26</v>
      </c>
      <c r="C37" s="126" t="s">
        <v>1033</v>
      </c>
      <c r="D37" s="121"/>
      <c r="E37" s="121"/>
      <c r="F37" s="121"/>
      <c r="G37" s="121"/>
      <c r="H37" s="121"/>
      <c r="I37" s="121"/>
      <c r="J37" s="121"/>
      <c r="K37" s="122"/>
      <c r="L37" s="59"/>
      <c r="M37" s="53" t="s">
        <v>45</v>
      </c>
      <c r="N37" s="54"/>
      <c r="O37" s="54"/>
      <c r="P37" s="57"/>
    </row>
    <row r="38" spans="2:16" ht="30" customHeight="1">
      <c r="B38" s="58">
        <v>27</v>
      </c>
      <c r="C38" s="126" t="s">
        <v>1034</v>
      </c>
      <c r="D38" s="121"/>
      <c r="E38" s="121"/>
      <c r="F38" s="121"/>
      <c r="G38" s="121"/>
      <c r="H38" s="121"/>
      <c r="I38" s="121"/>
      <c r="J38" s="121"/>
      <c r="K38" s="122"/>
      <c r="L38" s="59"/>
      <c r="M38" s="53" t="s">
        <v>45</v>
      </c>
      <c r="N38" s="54"/>
      <c r="O38" s="54"/>
      <c r="P38" s="57"/>
    </row>
    <row r="39" spans="2:16" ht="30" customHeight="1">
      <c r="B39" s="37">
        <v>28</v>
      </c>
      <c r="C39" s="126" t="s">
        <v>1035</v>
      </c>
      <c r="D39" s="121"/>
      <c r="E39" s="121"/>
      <c r="F39" s="121"/>
      <c r="G39" s="121"/>
      <c r="H39" s="121"/>
      <c r="I39" s="121"/>
      <c r="J39" s="121"/>
      <c r="K39" s="122"/>
      <c r="L39" s="59"/>
      <c r="M39" s="53" t="s">
        <v>45</v>
      </c>
      <c r="N39" s="54"/>
      <c r="O39" s="54"/>
      <c r="P39" s="57"/>
    </row>
    <row r="40" spans="2:16" ht="30" customHeight="1">
      <c r="B40" s="58">
        <v>29</v>
      </c>
      <c r="C40" s="126" t="s">
        <v>1036</v>
      </c>
      <c r="D40" s="121"/>
      <c r="E40" s="121"/>
      <c r="F40" s="121"/>
      <c r="G40" s="121"/>
      <c r="H40" s="121"/>
      <c r="I40" s="121"/>
      <c r="J40" s="121"/>
      <c r="K40" s="122"/>
      <c r="L40" s="59"/>
      <c r="M40" s="53" t="s">
        <v>45</v>
      </c>
      <c r="N40" s="54"/>
      <c r="O40" s="54"/>
      <c r="P40" s="57"/>
    </row>
    <row r="41" spans="2:16" ht="30" customHeight="1">
      <c r="B41" s="58">
        <v>30</v>
      </c>
      <c r="C41" s="126" t="s">
        <v>1037</v>
      </c>
      <c r="D41" s="121"/>
      <c r="E41" s="121"/>
      <c r="F41" s="121"/>
      <c r="G41" s="121"/>
      <c r="H41" s="121"/>
      <c r="I41" s="121"/>
      <c r="J41" s="121"/>
      <c r="K41" s="122"/>
      <c r="L41" s="59"/>
      <c r="M41" s="53" t="s">
        <v>45</v>
      </c>
      <c r="N41" s="54"/>
      <c r="O41" s="54"/>
      <c r="P41" s="57"/>
    </row>
    <row r="42" spans="2:16" ht="30" customHeight="1">
      <c r="B42" s="37">
        <v>31</v>
      </c>
      <c r="C42" s="126" t="s">
        <v>1038</v>
      </c>
      <c r="D42" s="121"/>
      <c r="E42" s="121"/>
      <c r="F42" s="121"/>
      <c r="G42" s="121"/>
      <c r="H42" s="121"/>
      <c r="I42" s="121"/>
      <c r="J42" s="121"/>
      <c r="K42" s="122"/>
      <c r="L42" s="59"/>
      <c r="M42" s="53" t="s">
        <v>45</v>
      </c>
      <c r="N42" s="54"/>
      <c r="O42" s="54"/>
      <c r="P42" s="57"/>
    </row>
    <row r="43" spans="2:16" ht="30" customHeight="1">
      <c r="B43" s="58">
        <v>32</v>
      </c>
      <c r="C43" s="126" t="s">
        <v>1039</v>
      </c>
      <c r="D43" s="121"/>
      <c r="E43" s="121"/>
      <c r="F43" s="121"/>
      <c r="G43" s="121"/>
      <c r="H43" s="121"/>
      <c r="I43" s="121"/>
      <c r="J43" s="121"/>
      <c r="K43" s="122"/>
      <c r="L43" s="59"/>
      <c r="M43" s="53" t="s">
        <v>45</v>
      </c>
      <c r="N43" s="54"/>
      <c r="O43" s="54"/>
      <c r="P43" s="57"/>
    </row>
    <row r="44" spans="2:16" ht="30" customHeight="1">
      <c r="B44" s="58">
        <v>33</v>
      </c>
      <c r="C44" s="126" t="s">
        <v>1040</v>
      </c>
      <c r="D44" s="121"/>
      <c r="E44" s="121"/>
      <c r="F44" s="121"/>
      <c r="G44" s="121"/>
      <c r="H44" s="121"/>
      <c r="I44" s="121"/>
      <c r="J44" s="121"/>
      <c r="K44" s="122"/>
      <c r="L44" s="59"/>
      <c r="M44" s="53" t="s">
        <v>45</v>
      </c>
      <c r="N44" s="54"/>
      <c r="O44" s="54"/>
      <c r="P44" s="57"/>
    </row>
    <row r="45" spans="2:16" ht="30" customHeight="1">
      <c r="B45" s="37">
        <v>34</v>
      </c>
      <c r="C45" s="126" t="s">
        <v>1041</v>
      </c>
      <c r="D45" s="121"/>
      <c r="E45" s="121"/>
      <c r="F45" s="121"/>
      <c r="G45" s="121"/>
      <c r="H45" s="121"/>
      <c r="I45" s="121"/>
      <c r="J45" s="121"/>
      <c r="K45" s="122"/>
      <c r="L45" s="59"/>
      <c r="M45" s="53" t="s">
        <v>45</v>
      </c>
      <c r="N45" s="54"/>
      <c r="O45" s="54"/>
      <c r="P45" s="57"/>
    </row>
    <row r="46" spans="2:16" ht="30" customHeight="1">
      <c r="B46" s="58">
        <v>35</v>
      </c>
      <c r="C46" s="126" t="s">
        <v>1042</v>
      </c>
      <c r="D46" s="121"/>
      <c r="E46" s="121"/>
      <c r="F46" s="121"/>
      <c r="G46" s="121"/>
      <c r="H46" s="121"/>
      <c r="I46" s="121"/>
      <c r="J46" s="121"/>
      <c r="K46" s="122"/>
      <c r="L46" s="59"/>
      <c r="M46" s="53" t="s">
        <v>45</v>
      </c>
      <c r="N46" s="54"/>
      <c r="O46" s="54"/>
      <c r="P46" s="57"/>
    </row>
    <row r="47" spans="2:16" ht="30" customHeight="1">
      <c r="B47" s="58">
        <v>36</v>
      </c>
      <c r="C47" s="126" t="s">
        <v>1043</v>
      </c>
      <c r="D47" s="121"/>
      <c r="E47" s="121"/>
      <c r="F47" s="121"/>
      <c r="G47" s="121"/>
      <c r="H47" s="121"/>
      <c r="I47" s="121"/>
      <c r="J47" s="121"/>
      <c r="K47" s="122"/>
      <c r="L47" s="59"/>
      <c r="M47" s="53" t="s">
        <v>45</v>
      </c>
      <c r="N47" s="54"/>
      <c r="O47" s="54"/>
      <c r="P47" s="57"/>
    </row>
    <row r="48" spans="2:16" ht="30" customHeight="1">
      <c r="B48" s="37">
        <v>37</v>
      </c>
      <c r="C48" s="126" t="s">
        <v>1044</v>
      </c>
      <c r="D48" s="121"/>
      <c r="E48" s="121"/>
      <c r="F48" s="121"/>
      <c r="G48" s="121"/>
      <c r="H48" s="121"/>
      <c r="I48" s="121"/>
      <c r="J48" s="121"/>
      <c r="K48" s="122"/>
      <c r="L48" s="59"/>
      <c r="M48" s="53" t="s">
        <v>45</v>
      </c>
      <c r="N48" s="54"/>
      <c r="O48" s="54"/>
      <c r="P48" s="57"/>
    </row>
    <row r="49" spans="2:28" ht="30" customHeight="1">
      <c r="B49" s="58">
        <v>38</v>
      </c>
      <c r="C49" s="126" t="s">
        <v>1045</v>
      </c>
      <c r="D49" s="121"/>
      <c r="E49" s="121"/>
      <c r="F49" s="121"/>
      <c r="G49" s="121"/>
      <c r="H49" s="121"/>
      <c r="I49" s="121"/>
      <c r="J49" s="121"/>
      <c r="K49" s="122"/>
      <c r="L49" s="59"/>
      <c r="M49" s="53" t="s">
        <v>45</v>
      </c>
      <c r="N49" s="54"/>
      <c r="O49" s="54"/>
      <c r="P49" s="57"/>
    </row>
    <row r="50" spans="2:28" ht="30" customHeight="1">
      <c r="B50" s="58">
        <v>39</v>
      </c>
      <c r="C50" s="126" t="s">
        <v>1046</v>
      </c>
      <c r="D50" s="121"/>
      <c r="E50" s="121"/>
      <c r="F50" s="121"/>
      <c r="G50" s="121"/>
      <c r="H50" s="121"/>
      <c r="I50" s="121"/>
      <c r="J50" s="121"/>
      <c r="K50" s="122"/>
      <c r="L50" s="59"/>
      <c r="M50" s="53" t="s">
        <v>45</v>
      </c>
      <c r="N50" s="54"/>
      <c r="O50" s="54"/>
      <c r="P50" s="57"/>
    </row>
    <row r="51" spans="2:28" ht="30" customHeight="1">
      <c r="B51" s="37">
        <v>40</v>
      </c>
      <c r="C51" s="126" t="s">
        <v>1047</v>
      </c>
      <c r="D51" s="121"/>
      <c r="E51" s="121"/>
      <c r="F51" s="121"/>
      <c r="G51" s="121"/>
      <c r="H51" s="121"/>
      <c r="I51" s="121"/>
      <c r="J51" s="121"/>
      <c r="K51" s="122"/>
      <c r="L51" s="59"/>
      <c r="M51" s="53" t="s">
        <v>45</v>
      </c>
      <c r="N51" s="54"/>
      <c r="O51" s="54"/>
      <c r="P51" s="57"/>
    </row>
    <row r="52" spans="2:28" ht="30" customHeight="1">
      <c r="B52" s="58">
        <v>41</v>
      </c>
      <c r="C52" s="126" t="s">
        <v>1048</v>
      </c>
      <c r="D52" s="121"/>
      <c r="E52" s="121"/>
      <c r="F52" s="121"/>
      <c r="G52" s="121"/>
      <c r="H52" s="121"/>
      <c r="I52" s="121"/>
      <c r="J52" s="121"/>
      <c r="K52" s="122"/>
      <c r="L52" s="38"/>
      <c r="M52" s="62" t="s">
        <v>45</v>
      </c>
      <c r="N52" s="54"/>
      <c r="O52" s="54"/>
      <c r="P52" s="55"/>
    </row>
    <row r="53" spans="2:28" ht="30" customHeight="1">
      <c r="B53" s="58">
        <v>42</v>
      </c>
      <c r="C53" s="126" t="s">
        <v>1049</v>
      </c>
      <c r="D53" s="121"/>
      <c r="E53" s="121"/>
      <c r="F53" s="121"/>
      <c r="G53" s="121"/>
      <c r="H53" s="121"/>
      <c r="I53" s="121"/>
      <c r="J53" s="121"/>
      <c r="K53" s="122"/>
      <c r="L53" s="59"/>
      <c r="M53" s="62" t="s">
        <v>45</v>
      </c>
      <c r="N53" s="54"/>
      <c r="O53" s="54"/>
      <c r="P53" s="57"/>
      <c r="T53" s="118"/>
      <c r="U53" s="119"/>
      <c r="V53" s="119"/>
      <c r="W53" s="119"/>
      <c r="X53" s="119"/>
      <c r="Y53" s="119"/>
      <c r="Z53" s="119"/>
      <c r="AA53" s="119"/>
      <c r="AB53" s="119"/>
    </row>
    <row r="54" spans="2:28" ht="30" customHeight="1">
      <c r="B54" s="37">
        <v>43</v>
      </c>
      <c r="C54" s="120"/>
      <c r="D54" s="121"/>
      <c r="E54" s="121"/>
      <c r="F54" s="121"/>
      <c r="G54" s="121"/>
      <c r="H54" s="121"/>
      <c r="I54" s="121"/>
      <c r="J54" s="121"/>
      <c r="K54" s="122"/>
      <c r="L54" s="59"/>
      <c r="M54" s="62"/>
      <c r="N54" s="54"/>
      <c r="O54" s="54"/>
      <c r="P54" s="57"/>
      <c r="T54" s="118"/>
      <c r="U54" s="119"/>
      <c r="V54" s="119"/>
      <c r="W54" s="119"/>
      <c r="X54" s="119"/>
      <c r="Y54" s="119"/>
      <c r="Z54" s="119"/>
      <c r="AA54" s="119"/>
      <c r="AB54" s="119"/>
    </row>
    <row r="55" spans="2:28" ht="14.25" customHeight="1"/>
    <row r="56" spans="2:28" ht="14.25" customHeight="1"/>
    <row r="57" spans="2:28" ht="14.25" customHeight="1">
      <c r="B57" s="31"/>
      <c r="C57" s="129" t="s">
        <v>340</v>
      </c>
      <c r="D57" s="130"/>
      <c r="E57" s="130"/>
      <c r="F57" s="130"/>
      <c r="G57" s="130"/>
      <c r="H57" s="130"/>
      <c r="I57" s="130"/>
      <c r="J57" s="131"/>
      <c r="K57" s="32"/>
    </row>
    <row r="58" spans="2:28" ht="14.25" customHeight="1"/>
    <row r="59" spans="2:28" ht="14.25" customHeight="1">
      <c r="B59" s="36"/>
      <c r="C59" s="132"/>
      <c r="D59" s="133"/>
      <c r="E59" s="134"/>
      <c r="F59" s="32"/>
      <c r="G59" s="32"/>
      <c r="H59" s="32"/>
      <c r="I59" s="32"/>
      <c r="J59" s="32"/>
      <c r="K59" s="32"/>
    </row>
    <row r="60" spans="2:28" ht="30" customHeight="1">
      <c r="B60" s="37">
        <v>1</v>
      </c>
      <c r="C60" s="120" t="s">
        <v>341</v>
      </c>
      <c r="D60" s="121"/>
      <c r="E60" s="121"/>
      <c r="F60" s="121"/>
      <c r="G60" s="121"/>
      <c r="H60" s="121"/>
      <c r="I60" s="121"/>
      <c r="J60" s="121"/>
      <c r="K60" s="122"/>
      <c r="L60" s="38"/>
      <c r="M60" s="53"/>
      <c r="N60" s="54" t="s">
        <v>45</v>
      </c>
      <c r="O60" s="54"/>
      <c r="P60" s="55"/>
      <c r="R60" s="56" t="s">
        <v>299</v>
      </c>
    </row>
    <row r="61" spans="2:28" ht="30" customHeight="1">
      <c r="B61" s="31">
        <v>2</v>
      </c>
      <c r="C61" s="120" t="s">
        <v>342</v>
      </c>
      <c r="D61" s="121"/>
      <c r="E61" s="121"/>
      <c r="F61" s="121"/>
      <c r="G61" s="121"/>
      <c r="H61" s="121"/>
      <c r="I61" s="121"/>
      <c r="J61" s="121"/>
      <c r="K61" s="122"/>
      <c r="L61" s="40"/>
      <c r="M61" s="53" t="s">
        <v>45</v>
      </c>
      <c r="N61" s="54"/>
      <c r="O61" s="54"/>
      <c r="P61" s="55"/>
    </row>
    <row r="62" spans="2:28" ht="30" customHeight="1">
      <c r="B62" s="37">
        <v>3</v>
      </c>
      <c r="C62" s="120" t="s">
        <v>343</v>
      </c>
      <c r="D62" s="121"/>
      <c r="E62" s="121"/>
      <c r="F62" s="121"/>
      <c r="G62" s="121"/>
      <c r="H62" s="121"/>
      <c r="I62" s="121"/>
      <c r="J62" s="121"/>
      <c r="K62" s="122"/>
      <c r="M62" s="53" t="s">
        <v>45</v>
      </c>
      <c r="N62" s="54"/>
      <c r="O62" s="54"/>
      <c r="P62" s="55"/>
      <c r="R62" s="56"/>
    </row>
    <row r="63" spans="2:28" ht="30" customHeight="1">
      <c r="B63" s="37">
        <v>4</v>
      </c>
      <c r="C63" s="120" t="s">
        <v>344</v>
      </c>
      <c r="D63" s="121"/>
      <c r="E63" s="121"/>
      <c r="F63" s="121"/>
      <c r="G63" s="121"/>
      <c r="H63" s="121"/>
      <c r="I63" s="121"/>
      <c r="J63" s="121"/>
      <c r="K63" s="122"/>
      <c r="M63" s="53" t="s">
        <v>45</v>
      </c>
      <c r="N63" s="54"/>
      <c r="O63" s="54"/>
      <c r="P63" s="55"/>
    </row>
    <row r="64" spans="2:28" ht="30" customHeight="1">
      <c r="B64" s="37">
        <v>5</v>
      </c>
      <c r="C64" s="120" t="s">
        <v>345</v>
      </c>
      <c r="D64" s="121"/>
      <c r="E64" s="121"/>
      <c r="F64" s="121"/>
      <c r="G64" s="121"/>
      <c r="H64" s="121"/>
      <c r="I64" s="121"/>
      <c r="J64" s="121"/>
      <c r="K64" s="122"/>
      <c r="L64" s="38"/>
      <c r="M64" s="53" t="s">
        <v>45</v>
      </c>
      <c r="N64" s="54"/>
      <c r="O64" s="54"/>
      <c r="P64" s="55"/>
    </row>
    <row r="65" spans="2:16" ht="30" customHeight="1">
      <c r="B65" s="37">
        <v>6</v>
      </c>
      <c r="C65" s="120"/>
      <c r="D65" s="121"/>
      <c r="E65" s="121"/>
      <c r="F65" s="121"/>
      <c r="G65" s="121"/>
      <c r="H65" s="121"/>
      <c r="I65" s="121"/>
      <c r="J65" s="121"/>
      <c r="K65" s="122"/>
      <c r="L65" s="42"/>
      <c r="M65" s="53"/>
      <c r="N65" s="54"/>
      <c r="O65" s="54"/>
      <c r="P65" s="55"/>
    </row>
    <row r="66" spans="2:16" ht="14.25" customHeight="1"/>
    <row r="67" spans="2:16" ht="14.25" customHeight="1"/>
    <row r="68" spans="2:16" ht="14.25" customHeight="1"/>
    <row r="69" spans="2:16" ht="14.25" customHeight="1"/>
    <row r="70" spans="2:16" ht="14.25" customHeight="1"/>
    <row r="71" spans="2:16" ht="14.25" customHeight="1"/>
    <row r="72" spans="2:16" ht="14.25" customHeight="1"/>
    <row r="73" spans="2:16" ht="14.25" customHeight="1"/>
    <row r="74" spans="2:16" ht="14.25" customHeight="1"/>
    <row r="75" spans="2:16" ht="14.25" customHeight="1"/>
    <row r="76" spans="2:16" ht="14.25" customHeight="1"/>
    <row r="77" spans="2:16" ht="14.25" customHeight="1"/>
    <row r="78" spans="2:16" ht="14.25" customHeight="1"/>
    <row r="79" spans="2:16" ht="14.25" customHeight="1"/>
    <row r="80" spans="2:16"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sheetData>
  <mergeCells count="59">
    <mergeCell ref="C32:K32"/>
    <mergeCell ref="C33:K33"/>
    <mergeCell ref="C34:K34"/>
    <mergeCell ref="C27:K27"/>
    <mergeCell ref="C28:K28"/>
    <mergeCell ref="C29:K29"/>
    <mergeCell ref="C30:K30"/>
    <mergeCell ref="C31:K31"/>
    <mergeCell ref="C44:K44"/>
    <mergeCell ref="C45:K45"/>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53:K53"/>
    <mergeCell ref="C54:K54"/>
    <mergeCell ref="C2:G2"/>
    <mergeCell ref="C3:G3"/>
    <mergeCell ref="C4:G4"/>
    <mergeCell ref="B5:C5"/>
    <mergeCell ref="C35:K35"/>
    <mergeCell ref="C36:K36"/>
    <mergeCell ref="C37:K37"/>
    <mergeCell ref="C38:K38"/>
    <mergeCell ref="C39:K39"/>
    <mergeCell ref="C40:K40"/>
    <mergeCell ref="C41:K41"/>
    <mergeCell ref="C42:K42"/>
    <mergeCell ref="C43:K43"/>
    <mergeCell ref="M8:O8"/>
    <mergeCell ref="C52:K52"/>
    <mergeCell ref="C65:K65"/>
    <mergeCell ref="P8:P9"/>
    <mergeCell ref="C9:J9"/>
    <mergeCell ref="C11:E11"/>
    <mergeCell ref="C12:K12"/>
    <mergeCell ref="C46:K46"/>
    <mergeCell ref="C47:K47"/>
    <mergeCell ref="C48:K48"/>
    <mergeCell ref="C49:K49"/>
    <mergeCell ref="C50:K50"/>
    <mergeCell ref="C51:K51"/>
    <mergeCell ref="C57:J57"/>
    <mergeCell ref="C59:E59"/>
    <mergeCell ref="C60:K60"/>
    <mergeCell ref="C61:K61"/>
    <mergeCell ref="C62:K62"/>
    <mergeCell ref="C63:K63"/>
    <mergeCell ref="C64:K64"/>
  </mergeCells>
  <hyperlinks>
    <hyperlink ref="V2" location="'REQ. NO FUN. GEN'!A1" display="Volver" xr:uid="{00000000-0004-0000-1300-000000000000}"/>
  </hyperlink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EFFFB-E2A0-4C6F-A2A5-1A89877BF99F}">
  <dimension ref="B1:V988"/>
  <sheetViews>
    <sheetView topLeftCell="A4" workbookViewId="0">
      <selection activeCell="C21" sqref="C21:K21"/>
    </sheetView>
  </sheetViews>
  <sheetFormatPr baseColWidth="10" defaultColWidth="12.5703125" defaultRowHeight="15" customHeight="1"/>
  <cols>
    <col min="1" max="1" width="10.5703125" customWidth="1"/>
    <col min="2" max="2" width="4.42578125" customWidth="1"/>
    <col min="3" max="9" width="10.5703125" customWidth="1"/>
    <col min="10" max="10" width="14.85546875" customWidth="1"/>
    <col min="11"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29" t="s">
        <v>679</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58">
        <v>1</v>
      </c>
      <c r="C12" s="120" t="s">
        <v>684</v>
      </c>
      <c r="D12" s="121"/>
      <c r="E12" s="121"/>
      <c r="F12" s="121"/>
      <c r="G12" s="121"/>
      <c r="H12" s="121"/>
      <c r="I12" s="121"/>
      <c r="J12" s="121"/>
      <c r="K12" s="122"/>
      <c r="L12" s="59"/>
      <c r="M12" s="53" t="s">
        <v>45</v>
      </c>
      <c r="N12" s="54"/>
      <c r="O12" s="54"/>
      <c r="P12" s="57"/>
    </row>
    <row r="13" spans="2:22" ht="30" customHeight="1">
      <c r="B13" s="58">
        <v>2</v>
      </c>
      <c r="C13" s="120" t="s">
        <v>685</v>
      </c>
      <c r="D13" s="121"/>
      <c r="E13" s="121"/>
      <c r="F13" s="121"/>
      <c r="G13" s="121"/>
      <c r="H13" s="121"/>
      <c r="I13" s="121"/>
      <c r="J13" s="121"/>
      <c r="K13" s="122"/>
      <c r="L13" s="59"/>
      <c r="M13" s="53" t="s">
        <v>45</v>
      </c>
      <c r="N13" s="54"/>
      <c r="O13" s="54"/>
      <c r="P13" s="57"/>
    </row>
    <row r="14" spans="2:22" ht="30" customHeight="1">
      <c r="B14" s="37">
        <v>3</v>
      </c>
      <c r="C14" s="120" t="s">
        <v>686</v>
      </c>
      <c r="D14" s="121"/>
      <c r="E14" s="121"/>
      <c r="F14" s="121"/>
      <c r="G14" s="121"/>
      <c r="H14" s="121"/>
      <c r="I14" s="121"/>
      <c r="J14" s="121"/>
      <c r="K14" s="122"/>
      <c r="L14" s="59"/>
      <c r="M14" s="53" t="s">
        <v>45</v>
      </c>
      <c r="N14" s="54"/>
      <c r="O14" s="54"/>
      <c r="P14" s="57"/>
    </row>
    <row r="15" spans="2:22" ht="30" customHeight="1">
      <c r="B15" s="58">
        <v>4</v>
      </c>
      <c r="C15" s="120" t="s">
        <v>687</v>
      </c>
      <c r="D15" s="121"/>
      <c r="E15" s="121"/>
      <c r="F15" s="121"/>
      <c r="G15" s="121"/>
      <c r="H15" s="121"/>
      <c r="I15" s="121"/>
      <c r="J15" s="121"/>
      <c r="K15" s="122"/>
      <c r="L15" s="59"/>
      <c r="M15" s="53" t="s">
        <v>45</v>
      </c>
      <c r="N15" s="54"/>
      <c r="O15" s="54"/>
      <c r="P15" s="57"/>
    </row>
    <row r="16" spans="2:22" ht="30" customHeight="1">
      <c r="B16" s="58">
        <v>5</v>
      </c>
      <c r="C16" s="120" t="s">
        <v>688</v>
      </c>
      <c r="D16" s="121"/>
      <c r="E16" s="121"/>
      <c r="F16" s="121"/>
      <c r="G16" s="121"/>
      <c r="H16" s="121"/>
      <c r="I16" s="121"/>
      <c r="J16" s="121"/>
      <c r="K16" s="122"/>
      <c r="L16" s="59"/>
      <c r="M16" s="53" t="s">
        <v>45</v>
      </c>
      <c r="N16" s="54"/>
      <c r="O16" s="54"/>
      <c r="P16" s="57"/>
    </row>
    <row r="17" spans="2:16" ht="30" customHeight="1">
      <c r="B17" s="37">
        <v>6</v>
      </c>
      <c r="C17" s="120" t="s">
        <v>689</v>
      </c>
      <c r="D17" s="121"/>
      <c r="E17" s="121"/>
      <c r="F17" s="121"/>
      <c r="G17" s="121"/>
      <c r="H17" s="121"/>
      <c r="I17" s="121"/>
      <c r="J17" s="121"/>
      <c r="K17" s="122"/>
      <c r="L17" s="59"/>
      <c r="M17" s="53" t="s">
        <v>45</v>
      </c>
      <c r="N17" s="54"/>
      <c r="O17" s="54"/>
      <c r="P17" s="57"/>
    </row>
    <row r="18" spans="2:16" ht="30" customHeight="1">
      <c r="B18" s="58">
        <v>7</v>
      </c>
      <c r="C18" s="120" t="s">
        <v>693</v>
      </c>
      <c r="D18" s="121"/>
      <c r="E18" s="121"/>
      <c r="F18" s="121"/>
      <c r="G18" s="121"/>
      <c r="H18" s="121"/>
      <c r="I18" s="121"/>
      <c r="J18" s="121"/>
      <c r="K18" s="122"/>
      <c r="L18" s="59"/>
      <c r="M18" s="53" t="s">
        <v>45</v>
      </c>
      <c r="N18" s="54"/>
      <c r="O18" s="54"/>
      <c r="P18" s="57"/>
    </row>
    <row r="19" spans="2:16" ht="30" customHeight="1">
      <c r="B19" s="58">
        <v>8</v>
      </c>
      <c r="C19" s="120" t="s">
        <v>690</v>
      </c>
      <c r="D19" s="121"/>
      <c r="E19" s="121"/>
      <c r="F19" s="121"/>
      <c r="G19" s="121"/>
      <c r="H19" s="121"/>
      <c r="I19" s="121"/>
      <c r="J19" s="121"/>
      <c r="K19" s="122"/>
      <c r="L19" s="59"/>
      <c r="M19" s="53" t="s">
        <v>45</v>
      </c>
      <c r="N19" s="54"/>
      <c r="O19" s="54"/>
      <c r="P19" s="57"/>
    </row>
    <row r="20" spans="2:16" ht="30" customHeight="1">
      <c r="B20" s="37">
        <v>9</v>
      </c>
      <c r="C20" s="120" t="s">
        <v>694</v>
      </c>
      <c r="D20" s="121"/>
      <c r="E20" s="121"/>
      <c r="F20" s="121"/>
      <c r="G20" s="121"/>
      <c r="H20" s="121"/>
      <c r="I20" s="121"/>
      <c r="J20" s="121"/>
      <c r="K20" s="122"/>
      <c r="L20" s="59"/>
      <c r="M20" s="53" t="s">
        <v>45</v>
      </c>
      <c r="N20" s="54"/>
      <c r="O20" s="54"/>
      <c r="P20" s="57"/>
    </row>
    <row r="21" spans="2:16" ht="30" customHeight="1">
      <c r="B21" s="58">
        <v>10</v>
      </c>
      <c r="C21" s="120" t="s">
        <v>695</v>
      </c>
      <c r="D21" s="121"/>
      <c r="E21" s="121"/>
      <c r="F21" s="121"/>
      <c r="G21" s="121"/>
      <c r="H21" s="121"/>
      <c r="I21" s="121"/>
      <c r="J21" s="121"/>
      <c r="K21" s="122"/>
      <c r="L21" s="59"/>
      <c r="M21" s="53" t="s">
        <v>45</v>
      </c>
      <c r="N21" s="54"/>
      <c r="O21" s="54"/>
      <c r="P21" s="57"/>
    </row>
    <row r="22" spans="2:16" ht="30" customHeight="1">
      <c r="B22" s="58">
        <v>11</v>
      </c>
      <c r="C22" s="120" t="s">
        <v>691</v>
      </c>
      <c r="D22" s="121"/>
      <c r="E22" s="121"/>
      <c r="F22" s="121"/>
      <c r="G22" s="121"/>
      <c r="H22" s="121"/>
      <c r="I22" s="121"/>
      <c r="J22" s="121"/>
      <c r="K22" s="122"/>
      <c r="L22" s="42"/>
      <c r="M22" s="53" t="s">
        <v>45</v>
      </c>
      <c r="N22" s="54"/>
      <c r="O22" s="54"/>
      <c r="P22" s="55"/>
    </row>
    <row r="23" spans="2:16" ht="30" customHeight="1">
      <c r="B23" s="37">
        <v>12</v>
      </c>
      <c r="C23" s="120" t="s">
        <v>692</v>
      </c>
      <c r="D23" s="121"/>
      <c r="E23" s="121"/>
      <c r="F23" s="121"/>
      <c r="G23" s="121"/>
      <c r="H23" s="121"/>
      <c r="I23" s="121"/>
      <c r="J23" s="121"/>
      <c r="K23" s="122"/>
      <c r="L23" s="42"/>
      <c r="M23" s="53" t="s">
        <v>45</v>
      </c>
      <c r="N23" s="54"/>
      <c r="O23" s="54"/>
      <c r="P23" s="55"/>
    </row>
    <row r="24" spans="2:16" ht="30" customHeight="1">
      <c r="B24" s="58">
        <v>13</v>
      </c>
      <c r="C24" s="120" t="s">
        <v>698</v>
      </c>
      <c r="D24" s="121"/>
      <c r="E24" s="121"/>
      <c r="F24" s="121"/>
      <c r="G24" s="121"/>
      <c r="H24" s="121"/>
      <c r="I24" s="121"/>
      <c r="J24" s="121"/>
      <c r="K24" s="122"/>
      <c r="L24" s="42"/>
      <c r="M24" s="53" t="s">
        <v>45</v>
      </c>
      <c r="N24" s="54"/>
      <c r="O24" s="54"/>
      <c r="P24" s="55"/>
    </row>
    <row r="25" spans="2:16" ht="30" customHeight="1">
      <c r="B25" s="58">
        <v>14</v>
      </c>
      <c r="C25" s="120"/>
      <c r="D25" s="121"/>
      <c r="E25" s="121"/>
      <c r="F25" s="121"/>
      <c r="G25" s="121"/>
      <c r="H25" s="121"/>
      <c r="I25" s="121"/>
      <c r="J25" s="121"/>
      <c r="K25" s="122"/>
      <c r="L25" s="42"/>
      <c r="M25" s="53"/>
      <c r="N25" s="54"/>
      <c r="O25" s="54"/>
      <c r="P25" s="55"/>
    </row>
    <row r="26" spans="2:16" ht="30" customHeight="1">
      <c r="B26" s="37">
        <v>15</v>
      </c>
      <c r="C26" s="120"/>
      <c r="D26" s="121"/>
      <c r="E26" s="121"/>
      <c r="F26" s="121"/>
      <c r="G26" s="121"/>
      <c r="H26" s="121"/>
      <c r="I26" s="121"/>
      <c r="J26" s="121"/>
      <c r="K26" s="122"/>
      <c r="L26" s="42"/>
      <c r="M26" s="53"/>
      <c r="N26" s="54"/>
      <c r="O26" s="54"/>
      <c r="P26" s="55"/>
    </row>
    <row r="27" spans="2:16" ht="30" customHeight="1">
      <c r="B27" s="58">
        <v>16</v>
      </c>
      <c r="C27" s="120"/>
      <c r="D27" s="121"/>
      <c r="E27" s="121"/>
      <c r="F27" s="121"/>
      <c r="G27" s="121"/>
      <c r="H27" s="121"/>
      <c r="I27" s="121"/>
      <c r="J27" s="121"/>
      <c r="K27" s="122"/>
      <c r="L27" s="42"/>
      <c r="M27" s="53"/>
      <c r="N27" s="54"/>
      <c r="O27" s="54"/>
      <c r="P27" s="55"/>
    </row>
    <row r="28" spans="2:16" ht="14.25" customHeight="1"/>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sheetData>
  <mergeCells count="24">
    <mergeCell ref="P8:P9"/>
    <mergeCell ref="C9:J9"/>
    <mergeCell ref="C2:G2"/>
    <mergeCell ref="C3:G3"/>
    <mergeCell ref="C4:G4"/>
    <mergeCell ref="B5:C5"/>
    <mergeCell ref="M8:O8"/>
    <mergeCell ref="C16:K16"/>
    <mergeCell ref="C17:K17"/>
    <mergeCell ref="C19:K19"/>
    <mergeCell ref="C20:K20"/>
    <mergeCell ref="C22:K22"/>
    <mergeCell ref="C11:E11"/>
    <mergeCell ref="C12:K12"/>
    <mergeCell ref="C13:K13"/>
    <mergeCell ref="C14:K14"/>
    <mergeCell ref="C15:K15"/>
    <mergeCell ref="C24:K24"/>
    <mergeCell ref="C25:K25"/>
    <mergeCell ref="C26:K26"/>
    <mergeCell ref="C27:K27"/>
    <mergeCell ref="C18:K18"/>
    <mergeCell ref="C21:K21"/>
    <mergeCell ref="C23:K23"/>
  </mergeCells>
  <hyperlinks>
    <hyperlink ref="V2" location="'REQ. FUN. GEN'!A1" display="Volver" xr:uid="{323F5F64-4C82-4F46-83EF-B544C31716B7}"/>
  </hyperlink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4A66B-A5CF-4F1B-891D-B9774327E4BC}">
  <dimension ref="B1:V947"/>
  <sheetViews>
    <sheetView workbookViewId="0">
      <selection activeCell="C39" sqref="C39:K39"/>
    </sheetView>
  </sheetViews>
  <sheetFormatPr baseColWidth="10" defaultColWidth="12.5703125" defaultRowHeight="15" customHeight="1"/>
  <cols>
    <col min="1" max="1" width="10.5703125" customWidth="1"/>
    <col min="2" max="2" width="4.42578125" customWidth="1"/>
    <col min="3" max="3" width="12.5703125" customWidth="1"/>
    <col min="4" max="9" width="10.5703125" customWidth="1"/>
    <col min="10" max="10" width="12.28515625" customWidth="1"/>
    <col min="11"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77"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29" t="s">
        <v>680</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6" t="s">
        <v>817</v>
      </c>
      <c r="D12" s="121"/>
      <c r="E12" s="121"/>
      <c r="F12" s="121"/>
      <c r="G12" s="121"/>
      <c r="H12" s="121"/>
      <c r="I12" s="121"/>
      <c r="J12" s="121"/>
      <c r="K12" s="122"/>
      <c r="L12" s="38"/>
      <c r="M12" s="62" t="s">
        <v>45</v>
      </c>
      <c r="N12" s="54"/>
      <c r="O12" s="54"/>
      <c r="P12" s="55"/>
    </row>
    <row r="13" spans="2:22" ht="30" customHeight="1">
      <c r="B13" s="58">
        <v>2</v>
      </c>
      <c r="C13" s="126" t="s">
        <v>818</v>
      </c>
      <c r="D13" s="121"/>
      <c r="E13" s="121"/>
      <c r="F13" s="121"/>
      <c r="G13" s="121"/>
      <c r="H13" s="121"/>
      <c r="I13" s="121"/>
      <c r="J13" s="121"/>
      <c r="K13" s="122"/>
      <c r="L13" s="59"/>
      <c r="M13" s="62" t="s">
        <v>45</v>
      </c>
      <c r="N13" s="54"/>
      <c r="O13" s="54"/>
      <c r="P13" s="57"/>
    </row>
    <row r="14" spans="2:22" ht="30" customHeight="1">
      <c r="B14" s="58">
        <v>3</v>
      </c>
      <c r="C14" s="126" t="s">
        <v>819</v>
      </c>
      <c r="D14" s="121"/>
      <c r="E14" s="121"/>
      <c r="F14" s="121"/>
      <c r="G14" s="121"/>
      <c r="H14" s="121"/>
      <c r="I14" s="121"/>
      <c r="J14" s="121"/>
      <c r="K14" s="122"/>
      <c r="L14" s="59"/>
      <c r="M14" s="62" t="s">
        <v>45</v>
      </c>
      <c r="N14" s="54"/>
      <c r="O14" s="54"/>
      <c r="P14" s="57"/>
    </row>
    <row r="15" spans="2:22" ht="30" customHeight="1">
      <c r="B15" s="37">
        <v>4</v>
      </c>
      <c r="C15" s="126" t="s">
        <v>820</v>
      </c>
      <c r="D15" s="121"/>
      <c r="E15" s="121"/>
      <c r="F15" s="121"/>
      <c r="G15" s="121"/>
      <c r="H15" s="121"/>
      <c r="I15" s="121"/>
      <c r="J15" s="121"/>
      <c r="K15" s="122"/>
      <c r="L15" s="59"/>
      <c r="M15" s="62" t="s">
        <v>45</v>
      </c>
      <c r="N15" s="54"/>
      <c r="O15" s="54"/>
      <c r="P15" s="57"/>
    </row>
    <row r="16" spans="2:22" ht="30" customHeight="1">
      <c r="B16" s="58">
        <v>5</v>
      </c>
      <c r="C16" s="126" t="s">
        <v>821</v>
      </c>
      <c r="D16" s="121"/>
      <c r="E16" s="121"/>
      <c r="F16" s="121"/>
      <c r="G16" s="121"/>
      <c r="H16" s="121"/>
      <c r="I16" s="121"/>
      <c r="J16" s="121"/>
      <c r="K16" s="122"/>
      <c r="L16" s="59"/>
      <c r="M16" s="62" t="s">
        <v>45</v>
      </c>
      <c r="N16" s="54"/>
      <c r="O16" s="54"/>
      <c r="P16" s="57"/>
    </row>
    <row r="17" spans="2:16" ht="30" customHeight="1">
      <c r="B17" s="58">
        <v>6</v>
      </c>
      <c r="C17" s="126" t="s">
        <v>822</v>
      </c>
      <c r="D17" s="121"/>
      <c r="E17" s="121"/>
      <c r="F17" s="121"/>
      <c r="G17" s="121"/>
      <c r="H17" s="121"/>
      <c r="I17" s="121"/>
      <c r="J17" s="121"/>
      <c r="K17" s="122"/>
      <c r="L17" s="59"/>
      <c r="M17" s="62" t="s">
        <v>45</v>
      </c>
      <c r="N17" s="54"/>
      <c r="O17" s="54"/>
      <c r="P17" s="57"/>
    </row>
    <row r="18" spans="2:16" ht="30" customHeight="1">
      <c r="B18" s="37">
        <v>7</v>
      </c>
      <c r="C18" s="126" t="s">
        <v>830</v>
      </c>
      <c r="D18" s="121"/>
      <c r="E18" s="121"/>
      <c r="F18" s="121"/>
      <c r="G18" s="121"/>
      <c r="H18" s="121"/>
      <c r="I18" s="121"/>
      <c r="J18" s="121"/>
      <c r="K18" s="122"/>
      <c r="L18" s="59"/>
      <c r="M18" s="62" t="s">
        <v>45</v>
      </c>
      <c r="N18" s="54"/>
      <c r="O18" s="54"/>
      <c r="P18" s="57"/>
    </row>
    <row r="19" spans="2:16" ht="30" customHeight="1">
      <c r="B19" s="58">
        <v>8</v>
      </c>
      <c r="C19" s="126" t="s">
        <v>831</v>
      </c>
      <c r="D19" s="121"/>
      <c r="E19" s="121"/>
      <c r="F19" s="121"/>
      <c r="G19" s="121"/>
      <c r="H19" s="121"/>
      <c r="I19" s="121"/>
      <c r="J19" s="121"/>
      <c r="K19" s="122"/>
      <c r="L19" s="59"/>
      <c r="M19" s="62" t="s">
        <v>45</v>
      </c>
      <c r="N19" s="54"/>
      <c r="O19" s="54"/>
      <c r="P19" s="57"/>
    </row>
    <row r="20" spans="2:16" ht="30" customHeight="1">
      <c r="B20" s="58">
        <v>9</v>
      </c>
      <c r="C20" s="126" t="s">
        <v>833</v>
      </c>
      <c r="D20" s="121"/>
      <c r="E20" s="121"/>
      <c r="F20" s="121"/>
      <c r="G20" s="121"/>
      <c r="H20" s="121"/>
      <c r="I20" s="121"/>
      <c r="J20" s="121"/>
      <c r="K20" s="122"/>
      <c r="L20" s="59"/>
      <c r="M20" s="62" t="s">
        <v>45</v>
      </c>
      <c r="N20" s="54"/>
      <c r="O20" s="54"/>
      <c r="P20" s="57"/>
    </row>
    <row r="21" spans="2:16" ht="30" customHeight="1">
      <c r="B21" s="37">
        <v>10</v>
      </c>
      <c r="C21" s="126" t="s">
        <v>834</v>
      </c>
      <c r="D21" s="121"/>
      <c r="E21" s="121"/>
      <c r="F21" s="121"/>
      <c r="G21" s="121"/>
      <c r="H21" s="121"/>
      <c r="I21" s="121"/>
      <c r="J21" s="121"/>
      <c r="K21" s="122"/>
      <c r="L21" s="42"/>
      <c r="M21" s="62" t="s">
        <v>45</v>
      </c>
      <c r="N21" s="54"/>
      <c r="O21" s="54"/>
      <c r="P21" s="55"/>
    </row>
    <row r="22" spans="2:16" ht="30" customHeight="1">
      <c r="B22" s="58">
        <v>11</v>
      </c>
      <c r="C22" s="126" t="s">
        <v>841</v>
      </c>
      <c r="D22" s="121"/>
      <c r="E22" s="121"/>
      <c r="F22" s="121"/>
      <c r="G22" s="121"/>
      <c r="H22" s="121"/>
      <c r="I22" s="121"/>
      <c r="J22" s="121"/>
      <c r="K22" s="122"/>
      <c r="L22" s="42"/>
      <c r="M22" s="62" t="s">
        <v>45</v>
      </c>
      <c r="N22" s="54"/>
      <c r="O22" s="54"/>
      <c r="P22" s="57"/>
    </row>
    <row r="23" spans="2:16" ht="30" customHeight="1">
      <c r="B23" s="58">
        <v>12</v>
      </c>
      <c r="C23" s="126" t="s">
        <v>840</v>
      </c>
      <c r="D23" s="121"/>
      <c r="E23" s="121"/>
      <c r="F23" s="121"/>
      <c r="G23" s="121"/>
      <c r="H23" s="121"/>
      <c r="I23" s="121"/>
      <c r="J23" s="121"/>
      <c r="K23" s="122"/>
      <c r="L23" s="42"/>
      <c r="M23" s="62" t="s">
        <v>45</v>
      </c>
      <c r="N23" s="54"/>
      <c r="O23" s="54"/>
      <c r="P23" s="57"/>
    </row>
    <row r="24" spans="2:16" ht="30" customHeight="1">
      <c r="B24" s="37">
        <v>13</v>
      </c>
      <c r="C24" s="126" t="s">
        <v>842</v>
      </c>
      <c r="D24" s="121"/>
      <c r="E24" s="121"/>
      <c r="F24" s="121"/>
      <c r="G24" s="121"/>
      <c r="H24" s="121"/>
      <c r="I24" s="121"/>
      <c r="J24" s="121"/>
      <c r="K24" s="122"/>
      <c r="L24" s="42"/>
      <c r="M24" s="62" t="s">
        <v>45</v>
      </c>
      <c r="N24" s="54"/>
      <c r="O24" s="54"/>
      <c r="P24" s="57"/>
    </row>
    <row r="25" spans="2:16" ht="30" customHeight="1">
      <c r="B25" s="58">
        <v>14</v>
      </c>
      <c r="C25" s="126" t="s">
        <v>843</v>
      </c>
      <c r="D25" s="121"/>
      <c r="E25" s="121"/>
      <c r="F25" s="121"/>
      <c r="G25" s="121"/>
      <c r="H25" s="121"/>
      <c r="I25" s="121"/>
      <c r="J25" s="121"/>
      <c r="K25" s="122"/>
      <c r="L25" s="42"/>
      <c r="M25" s="62" t="s">
        <v>45</v>
      </c>
      <c r="N25" s="54"/>
      <c r="O25" s="54"/>
      <c r="P25" s="57"/>
    </row>
    <row r="26" spans="2:16" ht="30" customHeight="1">
      <c r="B26" s="58">
        <v>15</v>
      </c>
      <c r="C26" s="126" t="s">
        <v>832</v>
      </c>
      <c r="D26" s="121"/>
      <c r="E26" s="121"/>
      <c r="F26" s="121"/>
      <c r="G26" s="121"/>
      <c r="H26" s="121"/>
      <c r="I26" s="121"/>
      <c r="J26" s="121"/>
      <c r="K26" s="122"/>
      <c r="L26" s="42"/>
      <c r="M26" s="62" t="s">
        <v>45</v>
      </c>
      <c r="N26" s="54"/>
      <c r="O26" s="54"/>
      <c r="P26" s="57"/>
    </row>
    <row r="27" spans="2:16" ht="30" customHeight="1">
      <c r="B27" s="37">
        <v>16</v>
      </c>
      <c r="C27" s="126" t="s">
        <v>835</v>
      </c>
      <c r="D27" s="121"/>
      <c r="E27" s="121"/>
      <c r="F27" s="121"/>
      <c r="G27" s="121"/>
      <c r="H27" s="121"/>
      <c r="I27" s="121"/>
      <c r="J27" s="121"/>
      <c r="K27" s="122"/>
      <c r="L27" s="42"/>
      <c r="M27" s="62" t="s">
        <v>45</v>
      </c>
      <c r="N27" s="54"/>
      <c r="O27" s="54"/>
      <c r="P27" s="57"/>
    </row>
    <row r="28" spans="2:16" ht="30" customHeight="1">
      <c r="B28" s="58">
        <v>17</v>
      </c>
      <c r="C28" s="126" t="s">
        <v>836</v>
      </c>
      <c r="D28" s="121"/>
      <c r="E28" s="121"/>
      <c r="F28" s="121"/>
      <c r="G28" s="121"/>
      <c r="H28" s="121"/>
      <c r="I28" s="121"/>
      <c r="J28" s="121"/>
      <c r="K28" s="122"/>
      <c r="L28" s="42"/>
      <c r="M28" s="62" t="s">
        <v>45</v>
      </c>
      <c r="N28" s="54"/>
      <c r="O28" s="54"/>
      <c r="P28" s="57"/>
    </row>
    <row r="29" spans="2:16" ht="30" customHeight="1">
      <c r="B29" s="58">
        <v>18</v>
      </c>
      <c r="C29" s="126" t="s">
        <v>837</v>
      </c>
      <c r="D29" s="121"/>
      <c r="E29" s="121"/>
      <c r="F29" s="121"/>
      <c r="G29" s="121"/>
      <c r="H29" s="121"/>
      <c r="I29" s="121"/>
      <c r="J29" s="121"/>
      <c r="K29" s="122"/>
      <c r="L29" s="42"/>
      <c r="M29" s="62" t="s">
        <v>45</v>
      </c>
      <c r="N29" s="54"/>
      <c r="O29" s="54"/>
      <c r="P29" s="57"/>
    </row>
    <row r="30" spans="2:16" ht="30" customHeight="1">
      <c r="B30" s="37">
        <v>19</v>
      </c>
      <c r="C30" s="126" t="s">
        <v>838</v>
      </c>
      <c r="D30" s="121"/>
      <c r="E30" s="121"/>
      <c r="F30" s="121"/>
      <c r="G30" s="121"/>
      <c r="H30" s="121"/>
      <c r="I30" s="121"/>
      <c r="J30" s="121"/>
      <c r="K30" s="122"/>
      <c r="L30" s="42"/>
      <c r="M30" s="62" t="s">
        <v>45</v>
      </c>
      <c r="N30" s="54"/>
      <c r="O30" s="54"/>
      <c r="P30" s="57"/>
    </row>
    <row r="31" spans="2:16" ht="30" customHeight="1">
      <c r="B31" s="58">
        <v>20</v>
      </c>
      <c r="C31" s="126" t="s">
        <v>839</v>
      </c>
      <c r="D31" s="121"/>
      <c r="E31" s="121"/>
      <c r="F31" s="121"/>
      <c r="G31" s="121"/>
      <c r="H31" s="121"/>
      <c r="I31" s="121"/>
      <c r="J31" s="121"/>
      <c r="K31" s="122"/>
      <c r="L31" s="42"/>
      <c r="M31" s="62" t="s">
        <v>45</v>
      </c>
      <c r="N31" s="54"/>
      <c r="O31" s="54"/>
      <c r="P31" s="57"/>
    </row>
    <row r="32" spans="2:16" ht="30" customHeight="1">
      <c r="B32" s="58">
        <v>21</v>
      </c>
      <c r="C32" s="126" t="s">
        <v>823</v>
      </c>
      <c r="D32" s="121"/>
      <c r="E32" s="121"/>
      <c r="F32" s="121"/>
      <c r="G32" s="121"/>
      <c r="H32" s="121"/>
      <c r="I32" s="121"/>
      <c r="J32" s="121"/>
      <c r="K32" s="122"/>
      <c r="L32" s="42"/>
      <c r="M32" s="62" t="s">
        <v>45</v>
      </c>
      <c r="N32" s="54"/>
      <c r="O32" s="54"/>
      <c r="P32" s="55"/>
    </row>
    <row r="33" spans="2:16" ht="30" customHeight="1">
      <c r="B33" s="37">
        <v>22</v>
      </c>
      <c r="C33" s="126" t="s">
        <v>824</v>
      </c>
      <c r="D33" s="121"/>
      <c r="E33" s="121"/>
      <c r="F33" s="121"/>
      <c r="G33" s="121"/>
      <c r="H33" s="121"/>
      <c r="I33" s="121"/>
      <c r="J33" s="121"/>
      <c r="K33" s="122"/>
      <c r="L33" s="42"/>
      <c r="M33" s="62" t="s">
        <v>45</v>
      </c>
      <c r="N33" s="54"/>
      <c r="O33" s="54"/>
      <c r="P33" s="55"/>
    </row>
    <row r="34" spans="2:16" ht="30" customHeight="1">
      <c r="B34" s="58">
        <v>23</v>
      </c>
      <c r="C34" s="126" t="s">
        <v>825</v>
      </c>
      <c r="D34" s="121"/>
      <c r="E34" s="121"/>
      <c r="F34" s="121"/>
      <c r="G34" s="121"/>
      <c r="H34" s="121"/>
      <c r="I34" s="121"/>
      <c r="J34" s="121"/>
      <c r="K34" s="122"/>
      <c r="L34" s="42"/>
      <c r="M34" s="62" t="s">
        <v>45</v>
      </c>
      <c r="N34" s="54"/>
      <c r="O34" s="54"/>
      <c r="P34" s="55"/>
    </row>
    <row r="35" spans="2:16" ht="30" customHeight="1">
      <c r="B35" s="58">
        <v>24</v>
      </c>
      <c r="C35" s="126" t="s">
        <v>826</v>
      </c>
      <c r="D35" s="121"/>
      <c r="E35" s="121"/>
      <c r="F35" s="121"/>
      <c r="G35" s="121"/>
      <c r="H35" s="121"/>
      <c r="I35" s="121"/>
      <c r="J35" s="121"/>
      <c r="K35" s="122"/>
      <c r="L35" s="42"/>
      <c r="M35" s="62" t="s">
        <v>45</v>
      </c>
      <c r="N35" s="54"/>
      <c r="O35" s="54"/>
      <c r="P35" s="55"/>
    </row>
    <row r="36" spans="2:16" ht="30" customHeight="1">
      <c r="B36" s="37">
        <v>25</v>
      </c>
      <c r="C36" s="126" t="s">
        <v>827</v>
      </c>
      <c r="D36" s="121"/>
      <c r="E36" s="121"/>
      <c r="F36" s="121"/>
      <c r="G36" s="121"/>
      <c r="H36" s="121"/>
      <c r="I36" s="121"/>
      <c r="J36" s="121"/>
      <c r="K36" s="122"/>
      <c r="L36" s="42"/>
      <c r="M36" s="62" t="s">
        <v>45</v>
      </c>
      <c r="N36" s="54"/>
      <c r="O36" s="54"/>
      <c r="P36" s="55"/>
    </row>
    <row r="37" spans="2:16" ht="30" customHeight="1">
      <c r="B37" s="58">
        <v>26</v>
      </c>
      <c r="C37" s="126" t="s">
        <v>828</v>
      </c>
      <c r="D37" s="121"/>
      <c r="E37" s="121"/>
      <c r="F37" s="121"/>
      <c r="G37" s="121"/>
      <c r="H37" s="121"/>
      <c r="I37" s="121"/>
      <c r="J37" s="121"/>
      <c r="K37" s="122"/>
      <c r="L37" s="42"/>
      <c r="M37" s="62" t="s">
        <v>45</v>
      </c>
      <c r="N37" s="54"/>
      <c r="O37" s="54"/>
      <c r="P37" s="55"/>
    </row>
    <row r="38" spans="2:16" ht="30" customHeight="1">
      <c r="B38" s="58">
        <v>27</v>
      </c>
      <c r="C38" s="126" t="s">
        <v>829</v>
      </c>
      <c r="D38" s="121"/>
      <c r="E38" s="121"/>
      <c r="F38" s="121"/>
      <c r="G38" s="121"/>
      <c r="H38" s="121"/>
      <c r="I38" s="121"/>
      <c r="J38" s="121"/>
      <c r="K38" s="122"/>
      <c r="L38" s="42"/>
      <c r="M38" s="62" t="s">
        <v>45</v>
      </c>
      <c r="N38" s="54"/>
      <c r="O38" s="54"/>
      <c r="P38" s="55"/>
    </row>
    <row r="39" spans="2:16" ht="30" customHeight="1">
      <c r="B39" s="37">
        <v>28</v>
      </c>
      <c r="C39" s="120"/>
      <c r="D39" s="121"/>
      <c r="E39" s="121"/>
      <c r="F39" s="121"/>
      <c r="G39" s="121"/>
      <c r="H39" s="121"/>
      <c r="I39" s="121"/>
      <c r="J39" s="121"/>
      <c r="K39" s="122"/>
      <c r="L39" s="42"/>
      <c r="M39" s="62"/>
      <c r="N39" s="54"/>
      <c r="O39" s="54"/>
      <c r="P39" s="55"/>
    </row>
    <row r="40" spans="2:16" ht="30" customHeight="1">
      <c r="B40" s="58">
        <v>29</v>
      </c>
      <c r="C40" s="120"/>
      <c r="D40" s="121"/>
      <c r="E40" s="121"/>
      <c r="F40" s="121"/>
      <c r="G40" s="121"/>
      <c r="H40" s="121"/>
      <c r="I40" s="121"/>
      <c r="J40" s="121"/>
      <c r="K40" s="122"/>
      <c r="L40" s="42"/>
      <c r="M40" s="62"/>
      <c r="N40" s="54"/>
      <c r="O40" s="54"/>
      <c r="P40" s="55"/>
    </row>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sheetData>
  <mergeCells count="37">
    <mergeCell ref="C28:K28"/>
    <mergeCell ref="C29:K29"/>
    <mergeCell ref="C30:K30"/>
    <mergeCell ref="C31:K31"/>
    <mergeCell ref="C23:K23"/>
    <mergeCell ref="C25:K25"/>
    <mergeCell ref="P8:P9"/>
    <mergeCell ref="C9:J9"/>
    <mergeCell ref="C2:G2"/>
    <mergeCell ref="C3:G3"/>
    <mergeCell ref="C4:G4"/>
    <mergeCell ref="B5:C5"/>
    <mergeCell ref="M8:O8"/>
    <mergeCell ref="C32:K32"/>
    <mergeCell ref="C11:E11"/>
    <mergeCell ref="C12:K12"/>
    <mergeCell ref="C13:K13"/>
    <mergeCell ref="C14:K14"/>
    <mergeCell ref="C15:K15"/>
    <mergeCell ref="C16:K16"/>
    <mergeCell ref="C17:K17"/>
    <mergeCell ref="C18:K18"/>
    <mergeCell ref="C19:K19"/>
    <mergeCell ref="C20:K20"/>
    <mergeCell ref="C21:K21"/>
    <mergeCell ref="C22:K22"/>
    <mergeCell ref="C24:K24"/>
    <mergeCell ref="C26:K26"/>
    <mergeCell ref="C27:K27"/>
    <mergeCell ref="C38:K38"/>
    <mergeCell ref="C39:K39"/>
    <mergeCell ref="C40:K40"/>
    <mergeCell ref="C33:K33"/>
    <mergeCell ref="C34:K34"/>
    <mergeCell ref="C35:K35"/>
    <mergeCell ref="C36:K36"/>
    <mergeCell ref="C37:K37"/>
  </mergeCells>
  <hyperlinks>
    <hyperlink ref="V2" location="'REQ. NO FUN. GEN'!A1" display="Volver" xr:uid="{668CBF3B-C3D4-4251-B849-AB28F9F489ED}"/>
  </hyperlinks>
  <pageMargins left="0.7" right="0.7" top="0.75" bottom="0.75" header="0" footer="0"/>
  <pageSetup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4AFCC-E838-4801-9BC9-A32716C2DA23}">
  <dimension ref="B1:V983"/>
  <sheetViews>
    <sheetView topLeftCell="A4" workbookViewId="0">
      <selection activeCell="G27" sqref="G27"/>
    </sheetView>
  </sheetViews>
  <sheetFormatPr baseColWidth="10" defaultColWidth="12.5703125" defaultRowHeight="15" customHeight="1"/>
  <cols>
    <col min="1" max="1" width="10.5703125" customWidth="1"/>
    <col min="2" max="2" width="4.42578125" customWidth="1"/>
    <col min="3" max="9" width="10.5703125" customWidth="1"/>
    <col min="10" max="10" width="10.85546875" customWidth="1"/>
    <col min="11"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77"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29" t="s">
        <v>682</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t="s">
        <v>699</v>
      </c>
      <c r="D12" s="121"/>
      <c r="E12" s="121"/>
      <c r="F12" s="121"/>
      <c r="G12" s="121"/>
      <c r="H12" s="121"/>
      <c r="I12" s="121"/>
      <c r="J12" s="121"/>
      <c r="K12" s="122"/>
      <c r="L12" s="38"/>
      <c r="M12" s="53" t="s">
        <v>45</v>
      </c>
      <c r="N12" s="54"/>
      <c r="O12" s="54"/>
      <c r="P12" s="55"/>
    </row>
    <row r="13" spans="2:22" ht="30" customHeight="1">
      <c r="B13" s="58">
        <v>2</v>
      </c>
      <c r="C13" s="120" t="s">
        <v>700</v>
      </c>
      <c r="D13" s="121"/>
      <c r="E13" s="121"/>
      <c r="F13" s="121"/>
      <c r="G13" s="121"/>
      <c r="H13" s="121"/>
      <c r="I13" s="121"/>
      <c r="J13" s="121"/>
      <c r="K13" s="122"/>
      <c r="L13" s="59"/>
      <c r="M13" s="53" t="s">
        <v>45</v>
      </c>
      <c r="N13" s="54"/>
      <c r="O13" s="54"/>
      <c r="P13" s="57"/>
    </row>
    <row r="14" spans="2:22" ht="30" customHeight="1">
      <c r="B14" s="58">
        <v>3</v>
      </c>
      <c r="C14" s="120" t="s">
        <v>701</v>
      </c>
      <c r="D14" s="121"/>
      <c r="E14" s="121"/>
      <c r="F14" s="121"/>
      <c r="G14" s="121"/>
      <c r="H14" s="121"/>
      <c r="I14" s="121"/>
      <c r="J14" s="121"/>
      <c r="K14" s="122"/>
      <c r="L14" s="59"/>
      <c r="M14" s="53" t="s">
        <v>45</v>
      </c>
      <c r="N14" s="54"/>
      <c r="O14" s="54"/>
      <c r="P14" s="57"/>
    </row>
    <row r="15" spans="2:22" ht="30" customHeight="1">
      <c r="B15" s="37">
        <v>4</v>
      </c>
      <c r="C15" s="120" t="s">
        <v>703</v>
      </c>
      <c r="D15" s="121"/>
      <c r="E15" s="121"/>
      <c r="F15" s="121"/>
      <c r="G15" s="121"/>
      <c r="H15" s="121"/>
      <c r="I15" s="121"/>
      <c r="J15" s="121"/>
      <c r="K15" s="122"/>
      <c r="L15" s="59"/>
      <c r="M15" s="53" t="s">
        <v>45</v>
      </c>
      <c r="N15" s="54"/>
      <c r="O15" s="54"/>
      <c r="P15" s="57"/>
    </row>
    <row r="16" spans="2:22" ht="30" customHeight="1">
      <c r="B16" s="58">
        <v>5</v>
      </c>
      <c r="C16" s="120" t="s">
        <v>704</v>
      </c>
      <c r="D16" s="121"/>
      <c r="E16" s="121"/>
      <c r="F16" s="121"/>
      <c r="G16" s="121"/>
      <c r="H16" s="121"/>
      <c r="I16" s="121"/>
      <c r="J16" s="121"/>
      <c r="K16" s="122"/>
      <c r="L16" s="59"/>
      <c r="M16" s="53" t="s">
        <v>45</v>
      </c>
      <c r="N16" s="54"/>
      <c r="O16" s="54"/>
      <c r="P16" s="57"/>
    </row>
    <row r="17" spans="2:16" ht="30" customHeight="1">
      <c r="B17" s="58">
        <v>6</v>
      </c>
      <c r="C17" s="120" t="s">
        <v>702</v>
      </c>
      <c r="D17" s="121"/>
      <c r="E17" s="121"/>
      <c r="F17" s="121"/>
      <c r="G17" s="121"/>
      <c r="H17" s="121"/>
      <c r="I17" s="121"/>
      <c r="J17" s="121"/>
      <c r="K17" s="122"/>
      <c r="L17" s="59"/>
      <c r="M17" s="53" t="s">
        <v>45</v>
      </c>
      <c r="N17" s="54"/>
      <c r="O17" s="54"/>
      <c r="P17" s="57"/>
    </row>
    <row r="18" spans="2:16" ht="30" customHeight="1">
      <c r="B18" s="37">
        <v>7</v>
      </c>
      <c r="C18" s="120" t="s">
        <v>705</v>
      </c>
      <c r="D18" s="121"/>
      <c r="E18" s="121"/>
      <c r="F18" s="121"/>
      <c r="G18" s="121"/>
      <c r="H18" s="121"/>
      <c r="I18" s="121"/>
      <c r="J18" s="121"/>
      <c r="K18" s="122"/>
      <c r="L18" s="59"/>
      <c r="M18" s="53" t="s">
        <v>45</v>
      </c>
      <c r="N18" s="54"/>
      <c r="O18" s="54"/>
      <c r="P18" s="57"/>
    </row>
    <row r="19" spans="2:16" ht="30" customHeight="1">
      <c r="B19" s="58">
        <v>8</v>
      </c>
      <c r="C19" s="120" t="s">
        <v>706</v>
      </c>
      <c r="D19" s="121"/>
      <c r="E19" s="121"/>
      <c r="F19" s="121"/>
      <c r="G19" s="121"/>
      <c r="H19" s="121"/>
      <c r="I19" s="121"/>
      <c r="J19" s="121"/>
      <c r="K19" s="122"/>
      <c r="L19" s="59"/>
      <c r="M19" s="53" t="s">
        <v>45</v>
      </c>
      <c r="N19" s="54"/>
      <c r="O19" s="54"/>
      <c r="P19" s="57"/>
    </row>
    <row r="20" spans="2:16" ht="30" customHeight="1">
      <c r="B20" s="58">
        <v>9</v>
      </c>
      <c r="C20" s="120" t="s">
        <v>707</v>
      </c>
      <c r="D20" s="121"/>
      <c r="E20" s="121"/>
      <c r="F20" s="121"/>
      <c r="G20" s="121"/>
      <c r="H20" s="121"/>
      <c r="I20" s="121"/>
      <c r="J20" s="121"/>
      <c r="K20" s="122"/>
      <c r="L20" s="59"/>
      <c r="M20" s="53" t="s">
        <v>45</v>
      </c>
      <c r="N20" s="54"/>
      <c r="O20" s="54"/>
      <c r="P20" s="57"/>
    </row>
    <row r="21" spans="2:16" ht="30" customHeight="1">
      <c r="B21" s="37">
        <v>10</v>
      </c>
      <c r="C21" s="120"/>
      <c r="D21" s="121"/>
      <c r="E21" s="121"/>
      <c r="F21" s="121"/>
      <c r="G21" s="121"/>
      <c r="H21" s="121"/>
      <c r="I21" s="121"/>
      <c r="J21" s="121"/>
      <c r="K21" s="122"/>
      <c r="L21" s="42"/>
      <c r="M21" s="53"/>
      <c r="N21" s="54"/>
      <c r="O21" s="54"/>
      <c r="P21" s="55"/>
    </row>
    <row r="22" spans="2:16" ht="30" customHeight="1">
      <c r="B22" s="58">
        <v>11</v>
      </c>
      <c r="C22" s="120"/>
      <c r="D22" s="121"/>
      <c r="E22" s="121"/>
      <c r="F22" s="121"/>
      <c r="G22" s="121"/>
      <c r="H22" s="121"/>
      <c r="I22" s="121"/>
      <c r="J22" s="121"/>
      <c r="K22" s="122"/>
      <c r="L22" s="42"/>
      <c r="M22" s="53"/>
      <c r="N22" s="54"/>
      <c r="O22" s="54"/>
      <c r="P22" s="55"/>
    </row>
    <row r="23" spans="2:16" ht="30" customHeight="1">
      <c r="B23" s="58">
        <v>12</v>
      </c>
      <c r="C23" s="120"/>
      <c r="D23" s="121"/>
      <c r="E23" s="121"/>
      <c r="F23" s="121"/>
      <c r="G23" s="121"/>
      <c r="H23" s="121"/>
      <c r="I23" s="121"/>
      <c r="J23" s="121"/>
      <c r="K23" s="122"/>
      <c r="L23" s="42"/>
      <c r="M23" s="53"/>
      <c r="N23" s="54"/>
      <c r="O23" s="54"/>
      <c r="P23" s="55"/>
    </row>
    <row r="24" spans="2:16" ht="14.25" customHeight="1"/>
    <row r="25" spans="2:16" ht="14.25" customHeight="1"/>
    <row r="26" spans="2:16" ht="14.25" customHeight="1"/>
    <row r="27" spans="2:16" ht="14.25" customHeight="1"/>
    <row r="28" spans="2:16" ht="14.25" customHeight="1"/>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sheetData>
  <mergeCells count="20">
    <mergeCell ref="P8:P9"/>
    <mergeCell ref="C9:J9"/>
    <mergeCell ref="C2:G2"/>
    <mergeCell ref="C3:G3"/>
    <mergeCell ref="C4:G4"/>
    <mergeCell ref="B5:C5"/>
    <mergeCell ref="M8:O8"/>
    <mergeCell ref="C23:K23"/>
    <mergeCell ref="C22:K22"/>
    <mergeCell ref="C11:E11"/>
    <mergeCell ref="C12:K12"/>
    <mergeCell ref="C13:K13"/>
    <mergeCell ref="C14:K14"/>
    <mergeCell ref="C15:K15"/>
    <mergeCell ref="C16:K16"/>
    <mergeCell ref="C17:K17"/>
    <mergeCell ref="C18:K18"/>
    <mergeCell ref="C19:K19"/>
    <mergeCell ref="C20:K20"/>
    <mergeCell ref="C21:K21"/>
  </mergeCells>
  <hyperlinks>
    <hyperlink ref="V2" location="'REQ. FUN. GEN'!A1" display="Volver" xr:uid="{0EF609AA-2918-4A09-A03B-F97DEFEED4AB}"/>
  </hyperlinks>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94971-0A5A-49FE-8776-ADEF9C14C9CB}">
  <dimension ref="B1:V1001"/>
  <sheetViews>
    <sheetView workbookViewId="0">
      <selection activeCell="C24" sqref="C24:K24"/>
    </sheetView>
  </sheetViews>
  <sheetFormatPr baseColWidth="10" defaultColWidth="12.5703125" defaultRowHeight="15" customHeight="1"/>
  <cols>
    <col min="1" max="1" width="10.5703125" customWidth="1"/>
    <col min="2" max="2" width="4.42578125" customWidth="1"/>
    <col min="3" max="3" width="12.5703125" customWidth="1"/>
    <col min="4" max="9" width="10.5703125" customWidth="1"/>
    <col min="10" max="10" width="12.28515625" customWidth="1"/>
    <col min="11"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77"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29" t="s">
        <v>681</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t="s">
        <v>708</v>
      </c>
      <c r="D12" s="121"/>
      <c r="E12" s="121"/>
      <c r="F12" s="121"/>
      <c r="G12" s="121"/>
      <c r="H12" s="121"/>
      <c r="I12" s="121"/>
      <c r="J12" s="121"/>
      <c r="K12" s="122"/>
      <c r="L12" s="38"/>
      <c r="M12" s="53" t="s">
        <v>45</v>
      </c>
      <c r="N12" s="54"/>
      <c r="O12" s="54"/>
      <c r="P12" s="55"/>
    </row>
    <row r="13" spans="2:22" ht="30" customHeight="1">
      <c r="B13" s="58">
        <v>2</v>
      </c>
      <c r="C13" s="120" t="s">
        <v>709</v>
      </c>
      <c r="D13" s="121"/>
      <c r="E13" s="121"/>
      <c r="F13" s="121"/>
      <c r="G13" s="121"/>
      <c r="H13" s="121"/>
      <c r="I13" s="121"/>
      <c r="J13" s="121"/>
      <c r="K13" s="122"/>
      <c r="L13" s="59"/>
      <c r="M13" s="53" t="s">
        <v>45</v>
      </c>
      <c r="N13" s="54"/>
      <c r="O13" s="54"/>
      <c r="P13" s="57"/>
    </row>
    <row r="14" spans="2:22" ht="30" customHeight="1">
      <c r="B14" s="58">
        <v>3</v>
      </c>
      <c r="C14" s="120" t="s">
        <v>710</v>
      </c>
      <c r="D14" s="121"/>
      <c r="E14" s="121"/>
      <c r="F14" s="121"/>
      <c r="G14" s="121"/>
      <c r="H14" s="121"/>
      <c r="I14" s="121"/>
      <c r="J14" s="121"/>
      <c r="K14" s="122"/>
      <c r="L14" s="59"/>
      <c r="M14" s="53" t="s">
        <v>45</v>
      </c>
      <c r="N14" s="54"/>
      <c r="O14" s="54"/>
      <c r="P14" s="57"/>
    </row>
    <row r="15" spans="2:22" ht="30" customHeight="1">
      <c r="B15" s="37">
        <v>4</v>
      </c>
      <c r="C15" s="120" t="s">
        <v>711</v>
      </c>
      <c r="D15" s="121"/>
      <c r="E15" s="121"/>
      <c r="F15" s="121"/>
      <c r="G15" s="121"/>
      <c r="H15" s="121"/>
      <c r="I15" s="121"/>
      <c r="J15" s="121"/>
      <c r="K15" s="122"/>
      <c r="L15" s="59"/>
      <c r="M15" s="53" t="s">
        <v>45</v>
      </c>
      <c r="N15" s="54"/>
      <c r="O15" s="54"/>
      <c r="P15" s="57"/>
    </row>
    <row r="16" spans="2:22" ht="30" customHeight="1">
      <c r="B16" s="58">
        <v>5</v>
      </c>
      <c r="C16" s="120" t="s">
        <v>712</v>
      </c>
      <c r="D16" s="121"/>
      <c r="E16" s="121"/>
      <c r="F16" s="121"/>
      <c r="G16" s="121"/>
      <c r="H16" s="121"/>
      <c r="I16" s="121"/>
      <c r="J16" s="121"/>
      <c r="K16" s="122"/>
      <c r="L16" s="59"/>
      <c r="M16" s="53" t="s">
        <v>45</v>
      </c>
      <c r="N16" s="54"/>
      <c r="O16" s="54"/>
      <c r="P16" s="57"/>
    </row>
    <row r="17" spans="2:16" ht="30" customHeight="1">
      <c r="B17" s="58">
        <v>6</v>
      </c>
      <c r="C17" s="120" t="s">
        <v>713</v>
      </c>
      <c r="D17" s="121"/>
      <c r="E17" s="121"/>
      <c r="F17" s="121"/>
      <c r="G17" s="121"/>
      <c r="H17" s="121"/>
      <c r="I17" s="121"/>
      <c r="J17" s="121"/>
      <c r="K17" s="122"/>
      <c r="L17" s="59"/>
      <c r="M17" s="53" t="s">
        <v>45</v>
      </c>
      <c r="N17" s="54"/>
      <c r="O17" s="54"/>
      <c r="P17" s="57"/>
    </row>
    <row r="18" spans="2:16" ht="30" customHeight="1">
      <c r="B18" s="37">
        <v>7</v>
      </c>
      <c r="C18" s="120" t="s">
        <v>714</v>
      </c>
      <c r="D18" s="121"/>
      <c r="E18" s="121"/>
      <c r="F18" s="121"/>
      <c r="G18" s="121"/>
      <c r="H18" s="121"/>
      <c r="I18" s="121"/>
      <c r="J18" s="121"/>
      <c r="K18" s="122"/>
      <c r="L18" s="59"/>
      <c r="M18" s="53" t="s">
        <v>45</v>
      </c>
      <c r="N18" s="54"/>
      <c r="O18" s="54"/>
      <c r="P18" s="57"/>
    </row>
    <row r="19" spans="2:16" ht="30" customHeight="1">
      <c r="B19" s="58">
        <v>8</v>
      </c>
      <c r="C19" s="120" t="s">
        <v>715</v>
      </c>
      <c r="D19" s="121"/>
      <c r="E19" s="121"/>
      <c r="F19" s="121"/>
      <c r="G19" s="121"/>
      <c r="H19" s="121"/>
      <c r="I19" s="121"/>
      <c r="J19" s="121"/>
      <c r="K19" s="122"/>
      <c r="L19" s="59"/>
      <c r="M19" s="53" t="s">
        <v>45</v>
      </c>
      <c r="N19" s="54"/>
      <c r="O19" s="54"/>
      <c r="P19" s="57"/>
    </row>
    <row r="20" spans="2:16" ht="30" customHeight="1">
      <c r="B20" s="58">
        <v>9</v>
      </c>
      <c r="C20" s="120" t="s">
        <v>716</v>
      </c>
      <c r="D20" s="121"/>
      <c r="E20" s="121"/>
      <c r="F20" s="121"/>
      <c r="G20" s="121"/>
      <c r="H20" s="121"/>
      <c r="I20" s="121"/>
      <c r="J20" s="121"/>
      <c r="K20" s="122"/>
      <c r="L20" s="59"/>
      <c r="M20" s="53" t="s">
        <v>45</v>
      </c>
      <c r="N20" s="54"/>
      <c r="O20" s="54"/>
      <c r="P20" s="57"/>
    </row>
    <row r="21" spans="2:16" ht="30" customHeight="1">
      <c r="B21" s="37">
        <v>10</v>
      </c>
      <c r="C21" s="120" t="s">
        <v>717</v>
      </c>
      <c r="D21" s="121"/>
      <c r="E21" s="121"/>
      <c r="F21" s="121"/>
      <c r="G21" s="121"/>
      <c r="H21" s="121"/>
      <c r="I21" s="121"/>
      <c r="J21" s="121"/>
      <c r="K21" s="122"/>
      <c r="L21" s="42"/>
      <c r="M21" s="53" t="s">
        <v>45</v>
      </c>
      <c r="N21" s="54"/>
      <c r="O21" s="54"/>
      <c r="P21" s="55"/>
    </row>
    <row r="22" spans="2:16" ht="30" customHeight="1">
      <c r="B22" s="58">
        <v>11</v>
      </c>
      <c r="C22" s="120" t="s">
        <v>718</v>
      </c>
      <c r="D22" s="121"/>
      <c r="E22" s="121"/>
      <c r="F22" s="121"/>
      <c r="G22" s="121"/>
      <c r="H22" s="121"/>
      <c r="I22" s="121"/>
      <c r="J22" s="121"/>
      <c r="K22" s="122"/>
      <c r="L22" s="42"/>
      <c r="M22" s="53" t="s">
        <v>45</v>
      </c>
      <c r="N22" s="54"/>
      <c r="O22" s="54"/>
      <c r="P22" s="55"/>
    </row>
    <row r="23" spans="2:16" ht="30" customHeight="1">
      <c r="B23" s="58">
        <v>12</v>
      </c>
      <c r="C23" s="120" t="s">
        <v>719</v>
      </c>
      <c r="D23" s="121"/>
      <c r="E23" s="121"/>
      <c r="F23" s="121"/>
      <c r="G23" s="121"/>
      <c r="H23" s="121"/>
      <c r="I23" s="121"/>
      <c r="J23" s="121"/>
      <c r="K23" s="122"/>
      <c r="L23" s="42"/>
      <c r="M23" s="53" t="s">
        <v>45</v>
      </c>
      <c r="N23" s="54"/>
      <c r="O23" s="54"/>
      <c r="P23" s="55"/>
    </row>
    <row r="24" spans="2:16" ht="30" customHeight="1">
      <c r="B24" s="37">
        <v>13</v>
      </c>
      <c r="C24" s="120" t="s">
        <v>720</v>
      </c>
      <c r="D24" s="121"/>
      <c r="E24" s="121"/>
      <c r="F24" s="121"/>
      <c r="G24" s="121"/>
      <c r="H24" s="121"/>
      <c r="I24" s="121"/>
      <c r="J24" s="121"/>
      <c r="K24" s="122"/>
      <c r="L24" s="42"/>
      <c r="M24" s="53" t="s">
        <v>45</v>
      </c>
      <c r="N24" s="54"/>
      <c r="O24" s="54"/>
      <c r="P24" s="55"/>
    </row>
    <row r="25" spans="2:16" ht="30" customHeight="1">
      <c r="B25" s="58">
        <v>14</v>
      </c>
      <c r="C25" s="120" t="s">
        <v>721</v>
      </c>
      <c r="D25" s="121"/>
      <c r="E25" s="121"/>
      <c r="F25" s="121"/>
      <c r="G25" s="121"/>
      <c r="H25" s="121"/>
      <c r="I25" s="121"/>
      <c r="J25" s="121"/>
      <c r="K25" s="122"/>
      <c r="L25" s="42"/>
      <c r="M25" s="53" t="s">
        <v>45</v>
      </c>
      <c r="N25" s="54"/>
      <c r="O25" s="54"/>
      <c r="P25" s="55"/>
    </row>
    <row r="26" spans="2:16" ht="30" customHeight="1">
      <c r="B26" s="58">
        <v>15</v>
      </c>
      <c r="C26" s="120" t="s">
        <v>722</v>
      </c>
      <c r="D26" s="121"/>
      <c r="E26" s="121"/>
      <c r="F26" s="121"/>
      <c r="G26" s="121"/>
      <c r="H26" s="121"/>
      <c r="I26" s="121"/>
      <c r="J26" s="121"/>
      <c r="K26" s="122"/>
      <c r="L26" s="42"/>
      <c r="M26" s="53" t="s">
        <v>45</v>
      </c>
      <c r="N26" s="54"/>
      <c r="O26" s="54"/>
      <c r="P26" s="57"/>
    </row>
    <row r="27" spans="2:16" ht="30" customHeight="1">
      <c r="B27" s="37">
        <v>16</v>
      </c>
      <c r="C27" s="120" t="s">
        <v>723</v>
      </c>
      <c r="D27" s="121"/>
      <c r="E27" s="121"/>
      <c r="F27" s="121"/>
      <c r="G27" s="121"/>
      <c r="H27" s="121"/>
      <c r="I27" s="121"/>
      <c r="J27" s="121"/>
      <c r="K27" s="122"/>
      <c r="L27" s="42"/>
      <c r="M27" s="53" t="s">
        <v>45</v>
      </c>
      <c r="N27" s="54"/>
      <c r="O27" s="54"/>
      <c r="P27" s="57"/>
    </row>
    <row r="28" spans="2:16" ht="30" customHeight="1">
      <c r="B28" s="58">
        <v>17</v>
      </c>
      <c r="C28" s="120" t="s">
        <v>724</v>
      </c>
      <c r="D28" s="121"/>
      <c r="E28" s="121"/>
      <c r="F28" s="121"/>
      <c r="G28" s="121"/>
      <c r="H28" s="121"/>
      <c r="I28" s="121"/>
      <c r="J28" s="121"/>
      <c r="K28" s="122"/>
      <c r="L28" s="42"/>
      <c r="M28" s="53" t="s">
        <v>45</v>
      </c>
      <c r="N28" s="54"/>
      <c r="O28" s="54"/>
      <c r="P28" s="57"/>
    </row>
    <row r="29" spans="2:16" ht="30" customHeight="1">
      <c r="B29" s="58">
        <v>18</v>
      </c>
      <c r="C29" s="120" t="s">
        <v>725</v>
      </c>
      <c r="D29" s="121"/>
      <c r="E29" s="121"/>
      <c r="F29" s="121"/>
      <c r="G29" s="121"/>
      <c r="H29" s="121"/>
      <c r="I29" s="121"/>
      <c r="J29" s="121"/>
      <c r="K29" s="122"/>
      <c r="L29" s="42"/>
      <c r="M29" s="53" t="s">
        <v>45</v>
      </c>
      <c r="N29" s="54"/>
      <c r="O29" s="54"/>
      <c r="P29" s="57"/>
    </row>
    <row r="30" spans="2:16" ht="30" customHeight="1">
      <c r="B30" s="37">
        <v>19</v>
      </c>
      <c r="C30" s="120" t="s">
        <v>726</v>
      </c>
      <c r="D30" s="121"/>
      <c r="E30" s="121"/>
      <c r="F30" s="121"/>
      <c r="G30" s="121"/>
      <c r="H30" s="121"/>
      <c r="I30" s="121"/>
      <c r="J30" s="121"/>
      <c r="K30" s="122"/>
      <c r="L30" s="42"/>
      <c r="M30" s="53" t="s">
        <v>45</v>
      </c>
      <c r="N30" s="54"/>
      <c r="O30" s="54"/>
      <c r="P30" s="57"/>
    </row>
    <row r="31" spans="2:16" ht="30" customHeight="1">
      <c r="B31" s="58">
        <v>20</v>
      </c>
      <c r="C31" s="120" t="s">
        <v>727</v>
      </c>
      <c r="D31" s="121"/>
      <c r="E31" s="121"/>
      <c r="F31" s="121"/>
      <c r="G31" s="121"/>
      <c r="H31" s="121"/>
      <c r="I31" s="121"/>
      <c r="J31" s="121"/>
      <c r="K31" s="122"/>
      <c r="L31" s="42"/>
      <c r="M31" s="53" t="s">
        <v>45</v>
      </c>
      <c r="N31" s="54"/>
      <c r="O31" s="54"/>
      <c r="P31" s="57"/>
    </row>
    <row r="32" spans="2:16" ht="30" customHeight="1">
      <c r="B32" s="58">
        <v>21</v>
      </c>
      <c r="C32" s="120" t="s">
        <v>728</v>
      </c>
      <c r="D32" s="121"/>
      <c r="E32" s="121"/>
      <c r="F32" s="121"/>
      <c r="G32" s="121"/>
      <c r="H32" s="121"/>
      <c r="I32" s="121"/>
      <c r="J32" s="121"/>
      <c r="K32" s="122"/>
      <c r="L32" s="42"/>
      <c r="M32" s="53" t="s">
        <v>45</v>
      </c>
      <c r="N32" s="54"/>
      <c r="O32" s="54"/>
      <c r="P32" s="57"/>
    </row>
    <row r="33" spans="2:16" ht="30" customHeight="1">
      <c r="B33" s="37">
        <v>22</v>
      </c>
      <c r="C33" s="120" t="s">
        <v>729</v>
      </c>
      <c r="D33" s="121"/>
      <c r="E33" s="121"/>
      <c r="F33" s="121"/>
      <c r="G33" s="121"/>
      <c r="H33" s="121"/>
      <c r="I33" s="121"/>
      <c r="J33" s="121"/>
      <c r="K33" s="122"/>
      <c r="L33" s="42"/>
      <c r="M33" s="53" t="s">
        <v>45</v>
      </c>
      <c r="N33" s="54"/>
      <c r="O33" s="54"/>
      <c r="P33" s="57"/>
    </row>
    <row r="34" spans="2:16" ht="30" customHeight="1">
      <c r="B34" s="58">
        <v>23</v>
      </c>
      <c r="C34" s="120" t="s">
        <v>730</v>
      </c>
      <c r="D34" s="121"/>
      <c r="E34" s="121"/>
      <c r="F34" s="121"/>
      <c r="G34" s="121"/>
      <c r="H34" s="121"/>
      <c r="I34" s="121"/>
      <c r="J34" s="121"/>
      <c r="K34" s="122"/>
      <c r="L34" s="42"/>
      <c r="M34" s="53" t="s">
        <v>45</v>
      </c>
      <c r="N34" s="54"/>
      <c r="O34" s="54"/>
      <c r="P34" s="57"/>
    </row>
    <row r="35" spans="2:16" ht="30" customHeight="1">
      <c r="B35" s="58">
        <v>24</v>
      </c>
      <c r="C35" s="120" t="s">
        <v>731</v>
      </c>
      <c r="D35" s="121"/>
      <c r="E35" s="121"/>
      <c r="F35" s="121"/>
      <c r="G35" s="121"/>
      <c r="H35" s="121"/>
      <c r="I35" s="121"/>
      <c r="J35" s="121"/>
      <c r="K35" s="122"/>
      <c r="L35" s="42"/>
      <c r="M35" s="53" t="s">
        <v>45</v>
      </c>
      <c r="N35" s="54"/>
      <c r="O35" s="54"/>
      <c r="P35" s="57"/>
    </row>
    <row r="36" spans="2:16" ht="30" customHeight="1">
      <c r="B36" s="37">
        <v>25</v>
      </c>
      <c r="C36" s="120" t="s">
        <v>732</v>
      </c>
      <c r="D36" s="121"/>
      <c r="E36" s="121"/>
      <c r="F36" s="121"/>
      <c r="G36" s="121"/>
      <c r="H36" s="121"/>
      <c r="I36" s="121"/>
      <c r="J36" s="121"/>
      <c r="K36" s="122"/>
      <c r="L36" s="42"/>
      <c r="M36" s="53" t="s">
        <v>45</v>
      </c>
      <c r="N36" s="54"/>
      <c r="O36" s="54"/>
      <c r="P36" s="57"/>
    </row>
    <row r="37" spans="2:16" ht="30" customHeight="1">
      <c r="B37" s="58">
        <v>26</v>
      </c>
      <c r="C37" s="120" t="s">
        <v>733</v>
      </c>
      <c r="D37" s="121"/>
      <c r="E37" s="121"/>
      <c r="F37" s="121"/>
      <c r="G37" s="121"/>
      <c r="H37" s="121"/>
      <c r="I37" s="121"/>
      <c r="J37" s="121"/>
      <c r="K37" s="122"/>
      <c r="L37" s="42"/>
      <c r="M37" s="53" t="s">
        <v>45</v>
      </c>
      <c r="N37" s="54"/>
      <c r="O37" s="54"/>
      <c r="P37" s="57"/>
    </row>
    <row r="38" spans="2:16" ht="30" customHeight="1">
      <c r="B38" s="58">
        <v>27</v>
      </c>
      <c r="C38" s="120" t="s">
        <v>734</v>
      </c>
      <c r="D38" s="121"/>
      <c r="E38" s="121"/>
      <c r="F38" s="121"/>
      <c r="G38" s="121"/>
      <c r="H38" s="121"/>
      <c r="I38" s="121"/>
      <c r="J38" s="121"/>
      <c r="K38" s="122"/>
      <c r="L38" s="42"/>
      <c r="M38" s="53" t="s">
        <v>45</v>
      </c>
      <c r="N38" s="54"/>
      <c r="O38" s="54"/>
      <c r="P38" s="57"/>
    </row>
    <row r="39" spans="2:16" ht="30" customHeight="1">
      <c r="B39" s="37">
        <v>28</v>
      </c>
      <c r="C39" s="120"/>
      <c r="D39" s="121"/>
      <c r="E39" s="121"/>
      <c r="F39" s="121"/>
      <c r="G39" s="121"/>
      <c r="H39" s="121"/>
      <c r="I39" s="121"/>
      <c r="J39" s="121"/>
      <c r="K39" s="122"/>
      <c r="L39" s="42"/>
      <c r="M39" s="53"/>
      <c r="N39" s="54"/>
      <c r="O39" s="54"/>
      <c r="P39" s="57"/>
    </row>
    <row r="40" spans="2:16" ht="30" customHeight="1">
      <c r="B40" s="58">
        <v>29</v>
      </c>
      <c r="C40" s="120"/>
      <c r="D40" s="121"/>
      <c r="E40" s="121"/>
      <c r="F40" s="121"/>
      <c r="G40" s="121"/>
      <c r="H40" s="121"/>
      <c r="I40" s="121"/>
      <c r="J40" s="121"/>
      <c r="K40" s="122"/>
      <c r="L40" s="42"/>
      <c r="M40" s="53"/>
      <c r="N40" s="54"/>
      <c r="O40" s="54"/>
      <c r="P40" s="57"/>
    </row>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7">
    <mergeCell ref="P8:P9"/>
    <mergeCell ref="C9:J9"/>
    <mergeCell ref="C2:G2"/>
    <mergeCell ref="C3:G3"/>
    <mergeCell ref="C4:G4"/>
    <mergeCell ref="B5:C5"/>
    <mergeCell ref="M8:O8"/>
    <mergeCell ref="C22:K22"/>
    <mergeCell ref="C11:E11"/>
    <mergeCell ref="C12:K12"/>
    <mergeCell ref="C13:K13"/>
    <mergeCell ref="C14:K14"/>
    <mergeCell ref="C15:K15"/>
    <mergeCell ref="C16:K16"/>
    <mergeCell ref="C17:K17"/>
    <mergeCell ref="C18:K18"/>
    <mergeCell ref="C19:K19"/>
    <mergeCell ref="C20:K20"/>
    <mergeCell ref="C21:K21"/>
    <mergeCell ref="C23:K23"/>
    <mergeCell ref="C24:K24"/>
    <mergeCell ref="C25:K25"/>
    <mergeCell ref="C26:K26"/>
    <mergeCell ref="C27:K27"/>
    <mergeCell ref="C28:K28"/>
    <mergeCell ref="C29:K29"/>
    <mergeCell ref="C35:K35"/>
    <mergeCell ref="C30:K30"/>
    <mergeCell ref="C31:K31"/>
    <mergeCell ref="C32:K32"/>
    <mergeCell ref="C33:K33"/>
    <mergeCell ref="C34:K34"/>
    <mergeCell ref="C36:K36"/>
    <mergeCell ref="C38:K38"/>
    <mergeCell ref="C39:K39"/>
    <mergeCell ref="C40:K40"/>
    <mergeCell ref="C37:K37"/>
  </mergeCells>
  <hyperlinks>
    <hyperlink ref="V2" location="'REQ. NO FUN. GEN'!A1" display="Volver" xr:uid="{98F2FE0E-8BCB-47FA-9BEF-21726F0EEEB2}"/>
  </hyperlink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V1004"/>
  <sheetViews>
    <sheetView topLeftCell="A4" workbookViewId="0">
      <selection activeCell="S28" sqref="S28"/>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29" t="s">
        <v>346</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t="s">
        <v>608</v>
      </c>
      <c r="D12" s="121"/>
      <c r="E12" s="121"/>
      <c r="F12" s="121"/>
      <c r="G12" s="121"/>
      <c r="H12" s="121"/>
      <c r="I12" s="121"/>
      <c r="J12" s="121"/>
      <c r="K12" s="122"/>
      <c r="L12" s="38"/>
      <c r="M12" s="53" t="s">
        <v>45</v>
      </c>
      <c r="N12" s="54"/>
      <c r="O12" s="54"/>
      <c r="P12" s="55"/>
    </row>
    <row r="13" spans="2:22" ht="30" customHeight="1">
      <c r="B13" s="58">
        <v>2</v>
      </c>
      <c r="C13" s="120" t="s">
        <v>640</v>
      </c>
      <c r="D13" s="121"/>
      <c r="E13" s="121"/>
      <c r="F13" s="121"/>
      <c r="G13" s="121"/>
      <c r="H13" s="121"/>
      <c r="I13" s="121"/>
      <c r="J13" s="121"/>
      <c r="K13" s="122"/>
      <c r="L13" s="59"/>
      <c r="M13" s="53" t="s">
        <v>45</v>
      </c>
      <c r="N13" s="54"/>
      <c r="O13" s="54"/>
      <c r="P13" s="57"/>
    </row>
    <row r="14" spans="2:22" ht="30" customHeight="1">
      <c r="B14" s="58">
        <v>3</v>
      </c>
      <c r="C14" s="120" t="s">
        <v>641</v>
      </c>
      <c r="D14" s="121"/>
      <c r="E14" s="121"/>
      <c r="F14" s="121"/>
      <c r="G14" s="121"/>
      <c r="H14" s="121"/>
      <c r="I14" s="121"/>
      <c r="J14" s="121"/>
      <c r="K14" s="122"/>
      <c r="L14" s="59"/>
      <c r="M14" s="53" t="s">
        <v>45</v>
      </c>
      <c r="N14" s="54"/>
      <c r="O14" s="54"/>
      <c r="P14" s="57"/>
    </row>
    <row r="15" spans="2:22" ht="30" customHeight="1">
      <c r="B15" s="37">
        <v>4</v>
      </c>
      <c r="C15" s="120" t="s">
        <v>642</v>
      </c>
      <c r="D15" s="121"/>
      <c r="E15" s="121"/>
      <c r="F15" s="121"/>
      <c r="G15" s="121"/>
      <c r="H15" s="121"/>
      <c r="I15" s="121"/>
      <c r="J15" s="121"/>
      <c r="K15" s="122"/>
      <c r="L15" s="59"/>
      <c r="M15" s="53" t="s">
        <v>45</v>
      </c>
      <c r="N15" s="54"/>
      <c r="O15" s="54"/>
      <c r="P15" s="57"/>
    </row>
    <row r="16" spans="2:22" ht="30" customHeight="1">
      <c r="B16" s="37">
        <v>5</v>
      </c>
      <c r="C16" s="120" t="s">
        <v>643</v>
      </c>
      <c r="D16" s="121"/>
      <c r="E16" s="121"/>
      <c r="F16" s="121"/>
      <c r="G16" s="121"/>
      <c r="H16" s="121"/>
      <c r="I16" s="121"/>
      <c r="J16" s="121"/>
      <c r="K16" s="122"/>
      <c r="L16" s="59"/>
      <c r="M16" s="53" t="s">
        <v>45</v>
      </c>
      <c r="N16" s="54"/>
      <c r="O16" s="54"/>
      <c r="P16" s="57"/>
    </row>
    <row r="17" spans="2:16" ht="30" customHeight="1">
      <c r="B17" s="58">
        <v>6</v>
      </c>
      <c r="C17" s="120" t="s">
        <v>644</v>
      </c>
      <c r="D17" s="121"/>
      <c r="E17" s="121"/>
      <c r="F17" s="121"/>
      <c r="G17" s="121"/>
      <c r="H17" s="121"/>
      <c r="I17" s="121"/>
      <c r="J17" s="121"/>
      <c r="K17" s="122"/>
      <c r="L17" s="59"/>
      <c r="M17" s="53" t="s">
        <v>45</v>
      </c>
      <c r="N17" s="54"/>
      <c r="O17" s="54"/>
      <c r="P17" s="57"/>
    </row>
    <row r="18" spans="2:16" ht="30" customHeight="1">
      <c r="B18" s="58">
        <v>7</v>
      </c>
      <c r="C18" s="120" t="s">
        <v>645</v>
      </c>
      <c r="D18" s="121"/>
      <c r="E18" s="121"/>
      <c r="F18" s="121"/>
      <c r="G18" s="121"/>
      <c r="H18" s="121"/>
      <c r="I18" s="121"/>
      <c r="J18" s="121"/>
      <c r="K18" s="122"/>
      <c r="L18" s="59"/>
      <c r="M18" s="53" t="s">
        <v>45</v>
      </c>
      <c r="N18" s="54"/>
      <c r="O18" s="54"/>
      <c r="P18" s="57"/>
    </row>
    <row r="19" spans="2:16" ht="30" customHeight="1">
      <c r="B19" s="37">
        <v>8</v>
      </c>
      <c r="C19" s="120" t="s">
        <v>646</v>
      </c>
      <c r="D19" s="121"/>
      <c r="E19" s="121"/>
      <c r="F19" s="121"/>
      <c r="G19" s="121"/>
      <c r="H19" s="121"/>
      <c r="I19" s="121"/>
      <c r="J19" s="121"/>
      <c r="K19" s="122"/>
      <c r="L19" s="59"/>
      <c r="M19" s="53" t="s">
        <v>45</v>
      </c>
      <c r="N19" s="54"/>
      <c r="O19" s="54"/>
      <c r="P19" s="57"/>
    </row>
    <row r="20" spans="2:16" ht="30" customHeight="1">
      <c r="B20" s="37">
        <v>9</v>
      </c>
      <c r="C20" s="120" t="s">
        <v>347</v>
      </c>
      <c r="D20" s="121"/>
      <c r="E20" s="121"/>
      <c r="F20" s="121"/>
      <c r="G20" s="121"/>
      <c r="H20" s="121"/>
      <c r="I20" s="121"/>
      <c r="J20" s="121"/>
      <c r="K20" s="122"/>
      <c r="L20" s="59"/>
      <c r="M20" s="53" t="s">
        <v>45</v>
      </c>
      <c r="N20" s="54"/>
      <c r="O20" s="54"/>
      <c r="P20" s="57"/>
    </row>
    <row r="21" spans="2:16" ht="30" customHeight="1">
      <c r="B21" s="58">
        <v>10</v>
      </c>
      <c r="C21" s="120" t="s">
        <v>348</v>
      </c>
      <c r="D21" s="121"/>
      <c r="E21" s="121"/>
      <c r="F21" s="121"/>
      <c r="G21" s="121"/>
      <c r="H21" s="121"/>
      <c r="I21" s="121"/>
      <c r="J21" s="121"/>
      <c r="K21" s="122"/>
      <c r="L21" s="42"/>
      <c r="M21" s="53" t="s">
        <v>45</v>
      </c>
      <c r="N21" s="54"/>
      <c r="O21" s="54"/>
      <c r="P21" s="55"/>
    </row>
    <row r="22" spans="2:16" ht="30" customHeight="1">
      <c r="B22" s="58">
        <v>11</v>
      </c>
      <c r="C22" s="120" t="s">
        <v>349</v>
      </c>
      <c r="D22" s="121"/>
      <c r="E22" s="121"/>
      <c r="F22" s="121"/>
      <c r="G22" s="121"/>
      <c r="H22" s="121"/>
      <c r="I22" s="121"/>
      <c r="J22" s="121"/>
      <c r="K22" s="122"/>
      <c r="L22" s="42"/>
      <c r="M22" s="53" t="s">
        <v>45</v>
      </c>
      <c r="N22" s="54"/>
      <c r="O22" s="54"/>
      <c r="P22" s="55"/>
    </row>
    <row r="23" spans="2:16" ht="30" customHeight="1">
      <c r="B23" s="37">
        <v>12</v>
      </c>
      <c r="C23" s="120" t="s">
        <v>350</v>
      </c>
      <c r="D23" s="121"/>
      <c r="E23" s="121"/>
      <c r="F23" s="121"/>
      <c r="G23" s="121"/>
      <c r="H23" s="121"/>
      <c r="I23" s="121"/>
      <c r="J23" s="121"/>
      <c r="K23" s="122"/>
      <c r="L23" s="42"/>
      <c r="M23" s="53"/>
      <c r="N23" s="54" t="s">
        <v>45</v>
      </c>
      <c r="O23" s="54"/>
      <c r="P23" s="55"/>
    </row>
    <row r="24" spans="2:16" ht="30" customHeight="1">
      <c r="B24" s="37">
        <v>13</v>
      </c>
      <c r="C24" s="120" t="s">
        <v>352</v>
      </c>
      <c r="D24" s="121"/>
      <c r="E24" s="121"/>
      <c r="F24" s="121"/>
      <c r="G24" s="121"/>
      <c r="H24" s="121"/>
      <c r="I24" s="121"/>
      <c r="J24" s="121"/>
      <c r="K24" s="122"/>
      <c r="L24" s="42"/>
      <c r="M24" s="53"/>
      <c r="N24" s="54" t="s">
        <v>45</v>
      </c>
      <c r="O24" s="54"/>
      <c r="P24" s="55"/>
    </row>
    <row r="25" spans="2:16" ht="30" customHeight="1">
      <c r="B25" s="58">
        <v>14</v>
      </c>
      <c r="C25" s="120" t="s">
        <v>353</v>
      </c>
      <c r="D25" s="121"/>
      <c r="E25" s="121"/>
      <c r="F25" s="121"/>
      <c r="G25" s="121"/>
      <c r="H25" s="121"/>
      <c r="I25" s="121"/>
      <c r="J25" s="121"/>
      <c r="K25" s="122"/>
      <c r="L25" s="42"/>
      <c r="M25" s="53"/>
      <c r="N25" s="54" t="s">
        <v>45</v>
      </c>
      <c r="O25" s="54"/>
      <c r="P25" s="55"/>
    </row>
    <row r="26" spans="2:16" ht="30" customHeight="1">
      <c r="B26" s="58">
        <v>15</v>
      </c>
      <c r="C26" s="120" t="s">
        <v>354</v>
      </c>
      <c r="D26" s="121"/>
      <c r="E26" s="121"/>
      <c r="F26" s="121"/>
      <c r="G26" s="121"/>
      <c r="H26" s="121"/>
      <c r="I26" s="121"/>
      <c r="J26" s="121"/>
      <c r="K26" s="122"/>
      <c r="L26" s="42"/>
      <c r="M26" s="53" t="s">
        <v>45</v>
      </c>
      <c r="N26" s="54"/>
      <c r="O26" s="54"/>
      <c r="P26" s="55"/>
    </row>
    <row r="27" spans="2:16" ht="30" customHeight="1">
      <c r="B27" s="37">
        <v>16</v>
      </c>
      <c r="C27" s="120" t="s">
        <v>355</v>
      </c>
      <c r="D27" s="121"/>
      <c r="E27" s="121"/>
      <c r="F27" s="121"/>
      <c r="G27" s="121"/>
      <c r="H27" s="121"/>
      <c r="I27" s="121"/>
      <c r="J27" s="121"/>
      <c r="K27" s="122"/>
      <c r="L27" s="42"/>
      <c r="M27" s="53" t="s">
        <v>45</v>
      </c>
      <c r="N27" s="54"/>
      <c r="O27" s="54"/>
      <c r="P27" s="55"/>
    </row>
    <row r="28" spans="2:16" ht="30" customHeight="1">
      <c r="B28" s="58">
        <v>17</v>
      </c>
      <c r="C28" s="126" t="s">
        <v>786</v>
      </c>
      <c r="D28" s="121"/>
      <c r="E28" s="121"/>
      <c r="F28" s="121"/>
      <c r="G28" s="121"/>
      <c r="H28" s="121"/>
      <c r="I28" s="121"/>
      <c r="J28" s="121"/>
      <c r="K28" s="122"/>
      <c r="L28" s="42"/>
      <c r="M28" s="62" t="s">
        <v>45</v>
      </c>
      <c r="N28" s="54"/>
      <c r="O28" s="54"/>
      <c r="P28" s="57"/>
    </row>
    <row r="29" spans="2:16" ht="30" customHeight="1">
      <c r="B29" s="58">
        <v>18</v>
      </c>
      <c r="C29" s="126" t="s">
        <v>787</v>
      </c>
      <c r="D29" s="121"/>
      <c r="E29" s="121"/>
      <c r="F29" s="121"/>
      <c r="G29" s="121"/>
      <c r="H29" s="121"/>
      <c r="I29" s="121"/>
      <c r="J29" s="121"/>
      <c r="K29" s="122"/>
      <c r="L29" s="42"/>
      <c r="M29" s="62" t="s">
        <v>45</v>
      </c>
      <c r="N29" s="54"/>
      <c r="O29" s="54"/>
      <c r="P29" s="57"/>
    </row>
    <row r="30" spans="2:16" ht="30" customHeight="1">
      <c r="B30" s="37">
        <v>19</v>
      </c>
      <c r="C30" s="120"/>
      <c r="D30" s="121"/>
      <c r="E30" s="121"/>
      <c r="F30" s="121"/>
      <c r="G30" s="121"/>
      <c r="H30" s="121"/>
      <c r="I30" s="121"/>
      <c r="J30" s="121"/>
      <c r="K30" s="122"/>
      <c r="L30" s="42"/>
      <c r="M30" s="53"/>
      <c r="N30" s="54"/>
      <c r="O30" s="54"/>
      <c r="P30" s="55"/>
    </row>
    <row r="31" spans="2:16" ht="14.25" customHeight="1"/>
    <row r="32" spans="2:16" ht="14.25" customHeight="1"/>
    <row r="33" spans="2:16" ht="14.25" customHeight="1">
      <c r="B33" s="31"/>
      <c r="C33" s="129" t="s">
        <v>356</v>
      </c>
      <c r="D33" s="130"/>
      <c r="E33" s="130"/>
      <c r="F33" s="130"/>
      <c r="G33" s="130"/>
      <c r="H33" s="130"/>
      <c r="I33" s="130"/>
      <c r="J33" s="131"/>
      <c r="K33" s="32"/>
    </row>
    <row r="34" spans="2:16" ht="14.25" customHeight="1"/>
    <row r="35" spans="2:16" ht="14.25" customHeight="1">
      <c r="B35" s="36"/>
      <c r="C35" s="132"/>
      <c r="D35" s="133"/>
      <c r="E35" s="134"/>
      <c r="F35" s="32"/>
      <c r="G35" s="32"/>
      <c r="H35" s="32"/>
      <c r="I35" s="32"/>
      <c r="J35" s="32"/>
      <c r="K35" s="32"/>
    </row>
    <row r="36" spans="2:16" ht="30" customHeight="1">
      <c r="B36" s="37">
        <v>1</v>
      </c>
      <c r="C36" s="120" t="s">
        <v>357</v>
      </c>
      <c r="D36" s="121"/>
      <c r="E36" s="121"/>
      <c r="F36" s="121"/>
      <c r="G36" s="121"/>
      <c r="H36" s="121"/>
      <c r="I36" s="121"/>
      <c r="J36" s="121"/>
      <c r="K36" s="122"/>
      <c r="L36" s="38"/>
      <c r="M36" s="53" t="s">
        <v>45</v>
      </c>
      <c r="N36" s="54"/>
      <c r="O36" s="54"/>
      <c r="P36" s="55"/>
    </row>
    <row r="37" spans="2:16" ht="30" customHeight="1">
      <c r="B37" s="31">
        <v>2</v>
      </c>
      <c r="C37" s="120" t="s">
        <v>358</v>
      </c>
      <c r="D37" s="121"/>
      <c r="E37" s="121"/>
      <c r="F37" s="121"/>
      <c r="G37" s="121"/>
      <c r="H37" s="121"/>
      <c r="I37" s="121"/>
      <c r="J37" s="121"/>
      <c r="K37" s="122"/>
      <c r="L37" s="40"/>
      <c r="M37" s="53" t="s">
        <v>45</v>
      </c>
      <c r="N37" s="54"/>
      <c r="O37" s="54"/>
      <c r="P37" s="55"/>
    </row>
    <row r="38" spans="2:16" ht="30" customHeight="1">
      <c r="B38" s="37">
        <v>3</v>
      </c>
      <c r="C38" s="120" t="s">
        <v>359</v>
      </c>
      <c r="D38" s="121"/>
      <c r="E38" s="121"/>
      <c r="F38" s="121"/>
      <c r="G38" s="121"/>
      <c r="H38" s="121"/>
      <c r="I38" s="121"/>
      <c r="J38" s="121"/>
      <c r="K38" s="122"/>
      <c r="M38" s="53" t="s">
        <v>45</v>
      </c>
      <c r="N38" s="54"/>
      <c r="O38" s="54"/>
      <c r="P38" s="55"/>
    </row>
    <row r="39" spans="2:16" ht="30" customHeight="1">
      <c r="B39" s="37">
        <v>4</v>
      </c>
      <c r="C39" s="120" t="s">
        <v>360</v>
      </c>
      <c r="D39" s="121"/>
      <c r="E39" s="121"/>
      <c r="F39" s="121"/>
      <c r="G39" s="121"/>
      <c r="H39" s="121"/>
      <c r="I39" s="121"/>
      <c r="J39" s="121"/>
      <c r="K39" s="122"/>
      <c r="M39" s="53" t="s">
        <v>45</v>
      </c>
      <c r="N39" s="54"/>
      <c r="O39" s="54"/>
      <c r="P39" s="55"/>
    </row>
    <row r="40" spans="2:16" ht="30" customHeight="1">
      <c r="B40" s="31">
        <v>5</v>
      </c>
      <c r="C40" s="120" t="s">
        <v>361</v>
      </c>
      <c r="D40" s="121"/>
      <c r="E40" s="121"/>
      <c r="F40" s="121"/>
      <c r="G40" s="121"/>
      <c r="H40" s="121"/>
      <c r="I40" s="121"/>
      <c r="J40" s="121"/>
      <c r="K40" s="122"/>
      <c r="L40" s="38"/>
      <c r="M40" s="53" t="s">
        <v>45</v>
      </c>
      <c r="N40" s="54"/>
      <c r="O40" s="54"/>
      <c r="P40" s="55"/>
    </row>
    <row r="41" spans="2:16" ht="30" customHeight="1">
      <c r="B41" s="37">
        <v>6</v>
      </c>
      <c r="C41" s="120" t="s">
        <v>362</v>
      </c>
      <c r="D41" s="121"/>
      <c r="E41" s="121"/>
      <c r="F41" s="121"/>
      <c r="G41" s="121"/>
      <c r="H41" s="121"/>
      <c r="I41" s="121"/>
      <c r="J41" s="121"/>
      <c r="K41" s="122"/>
      <c r="L41" s="42"/>
      <c r="M41" s="53" t="s">
        <v>45</v>
      </c>
      <c r="N41" s="54"/>
      <c r="O41" s="54"/>
      <c r="P41" s="55"/>
    </row>
    <row r="42" spans="2:16" ht="30" customHeight="1">
      <c r="B42" s="37">
        <v>7</v>
      </c>
      <c r="C42" s="120"/>
      <c r="D42" s="121"/>
      <c r="E42" s="121"/>
      <c r="F42" s="121"/>
      <c r="G42" s="121"/>
      <c r="H42" s="121"/>
      <c r="I42" s="121"/>
      <c r="J42" s="121"/>
      <c r="K42" s="122"/>
      <c r="L42" s="42"/>
      <c r="M42" s="53"/>
      <c r="N42" s="54"/>
      <c r="O42" s="54"/>
      <c r="P42" s="55"/>
    </row>
    <row r="43" spans="2:16" ht="30" customHeight="1">
      <c r="B43" s="31">
        <v>8</v>
      </c>
      <c r="C43" s="120"/>
      <c r="D43" s="121"/>
      <c r="E43" s="121"/>
      <c r="F43" s="121"/>
      <c r="G43" s="121"/>
      <c r="H43" s="121"/>
      <c r="I43" s="121"/>
      <c r="J43" s="121"/>
      <c r="K43" s="122"/>
      <c r="L43" s="42"/>
      <c r="M43" s="53"/>
      <c r="N43" s="54"/>
      <c r="O43" s="54"/>
      <c r="P43" s="55"/>
    </row>
    <row r="44" spans="2:16" ht="30" customHeight="1">
      <c r="B44" s="37">
        <v>9</v>
      </c>
      <c r="C44" s="120"/>
      <c r="D44" s="121"/>
      <c r="E44" s="121"/>
      <c r="F44" s="121"/>
      <c r="G44" s="121"/>
      <c r="H44" s="121"/>
      <c r="I44" s="121"/>
      <c r="J44" s="121"/>
      <c r="K44" s="122"/>
      <c r="L44" s="40"/>
      <c r="M44" s="53"/>
      <c r="N44" s="54"/>
      <c r="O44" s="54"/>
      <c r="P44" s="55"/>
    </row>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38">
    <mergeCell ref="C28:K28"/>
    <mergeCell ref="C29:K29"/>
    <mergeCell ref="C2:G2"/>
    <mergeCell ref="C3:G3"/>
    <mergeCell ref="C4:G4"/>
    <mergeCell ref="B5:C5"/>
    <mergeCell ref="C21:K21"/>
    <mergeCell ref="C13:K13"/>
    <mergeCell ref="C14:K14"/>
    <mergeCell ref="C15:K15"/>
    <mergeCell ref="C16:K16"/>
    <mergeCell ref="C17:K17"/>
    <mergeCell ref="C18:K18"/>
    <mergeCell ref="C19:K19"/>
    <mergeCell ref="C20:K20"/>
    <mergeCell ref="C22:K22"/>
    <mergeCell ref="M8:O8"/>
    <mergeCell ref="P8:P9"/>
    <mergeCell ref="C9:J9"/>
    <mergeCell ref="C11:E11"/>
    <mergeCell ref="C12:K12"/>
    <mergeCell ref="C23:K23"/>
    <mergeCell ref="C24:K24"/>
    <mergeCell ref="C25:K25"/>
    <mergeCell ref="C26:K26"/>
    <mergeCell ref="C27:K27"/>
    <mergeCell ref="C30:K30"/>
    <mergeCell ref="C33:J33"/>
    <mergeCell ref="C35:E35"/>
    <mergeCell ref="C42:K42"/>
    <mergeCell ref="C43:K43"/>
    <mergeCell ref="C44:K44"/>
    <mergeCell ref="C36:K36"/>
    <mergeCell ref="C37:K37"/>
    <mergeCell ref="C38:K38"/>
    <mergeCell ref="C39:K39"/>
    <mergeCell ref="C40:K40"/>
    <mergeCell ref="C41:K41"/>
  </mergeCells>
  <hyperlinks>
    <hyperlink ref="V2" location="'REQ. FUN. GEN'!A1" display="Volver" xr:uid="{00000000-0004-0000-1400-000000000000}"/>
  </hyperlink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V1058"/>
  <sheetViews>
    <sheetView workbookViewId="0">
      <selection activeCell="H102" sqref="H10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29" t="s">
        <v>363</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6" t="s">
        <v>757</v>
      </c>
      <c r="D12" s="121"/>
      <c r="E12" s="121"/>
      <c r="F12" s="121"/>
      <c r="G12" s="121"/>
      <c r="H12" s="121"/>
      <c r="I12" s="121"/>
      <c r="J12" s="121"/>
      <c r="K12" s="122"/>
      <c r="L12" s="38"/>
      <c r="M12" s="53" t="s">
        <v>45</v>
      </c>
      <c r="N12" s="54"/>
      <c r="O12" s="54"/>
      <c r="P12" s="55"/>
    </row>
    <row r="13" spans="2:22" ht="30" customHeight="1">
      <c r="B13" s="58">
        <v>2</v>
      </c>
      <c r="C13" s="120" t="s">
        <v>735</v>
      </c>
      <c r="D13" s="121"/>
      <c r="E13" s="121"/>
      <c r="F13" s="121"/>
      <c r="G13" s="121"/>
      <c r="H13" s="121"/>
      <c r="I13" s="121"/>
      <c r="J13" s="121"/>
      <c r="K13" s="122"/>
      <c r="L13" s="59"/>
      <c r="M13" s="53" t="s">
        <v>45</v>
      </c>
      <c r="N13" s="54"/>
      <c r="O13" s="54"/>
      <c r="P13" s="57"/>
    </row>
    <row r="14" spans="2:22" ht="30" customHeight="1">
      <c r="B14" s="58">
        <v>3</v>
      </c>
      <c r="C14" s="120" t="s">
        <v>736</v>
      </c>
      <c r="D14" s="121"/>
      <c r="E14" s="121"/>
      <c r="F14" s="121"/>
      <c r="G14" s="121"/>
      <c r="H14" s="121"/>
      <c r="I14" s="121"/>
      <c r="J14" s="121"/>
      <c r="K14" s="122"/>
      <c r="L14" s="59"/>
      <c r="M14" s="53" t="s">
        <v>45</v>
      </c>
      <c r="N14" s="54"/>
      <c r="O14" s="54"/>
      <c r="P14" s="57"/>
    </row>
    <row r="15" spans="2:22" ht="30" customHeight="1">
      <c r="B15" s="37">
        <v>4</v>
      </c>
      <c r="C15" s="120" t="s">
        <v>737</v>
      </c>
      <c r="D15" s="121"/>
      <c r="E15" s="121"/>
      <c r="F15" s="121"/>
      <c r="G15" s="121"/>
      <c r="H15" s="121"/>
      <c r="I15" s="121"/>
      <c r="J15" s="121"/>
      <c r="K15" s="122"/>
      <c r="L15" s="59"/>
      <c r="M15" s="53" t="s">
        <v>45</v>
      </c>
      <c r="N15" s="54"/>
      <c r="O15" s="54"/>
      <c r="P15" s="57"/>
    </row>
    <row r="16" spans="2:22" ht="30" customHeight="1">
      <c r="B16" s="58">
        <v>5</v>
      </c>
      <c r="C16" s="120" t="s">
        <v>738</v>
      </c>
      <c r="D16" s="121"/>
      <c r="E16" s="121"/>
      <c r="F16" s="121"/>
      <c r="G16" s="121"/>
      <c r="H16" s="121"/>
      <c r="I16" s="121"/>
      <c r="J16" s="121"/>
      <c r="K16" s="122"/>
      <c r="L16" s="59"/>
      <c r="M16" s="53" t="s">
        <v>45</v>
      </c>
      <c r="N16" s="54"/>
      <c r="O16" s="54"/>
      <c r="P16" s="57"/>
    </row>
    <row r="17" spans="2:16" ht="30" customHeight="1">
      <c r="B17" s="58">
        <v>6</v>
      </c>
      <c r="C17" s="120" t="s">
        <v>739</v>
      </c>
      <c r="D17" s="121"/>
      <c r="E17" s="121"/>
      <c r="F17" s="121"/>
      <c r="G17" s="121"/>
      <c r="H17" s="121"/>
      <c r="I17" s="121"/>
      <c r="J17" s="121"/>
      <c r="K17" s="122"/>
      <c r="L17" s="59"/>
      <c r="M17" s="53" t="s">
        <v>45</v>
      </c>
      <c r="N17" s="54"/>
      <c r="O17" s="54"/>
      <c r="P17" s="57"/>
    </row>
    <row r="18" spans="2:16" ht="30" customHeight="1">
      <c r="B18" s="37">
        <v>7</v>
      </c>
      <c r="C18" s="120" t="s">
        <v>740</v>
      </c>
      <c r="D18" s="121"/>
      <c r="E18" s="121"/>
      <c r="F18" s="121"/>
      <c r="G18" s="121"/>
      <c r="H18" s="121"/>
      <c r="I18" s="121"/>
      <c r="J18" s="121"/>
      <c r="K18" s="122"/>
      <c r="L18" s="59"/>
      <c r="M18" s="53" t="s">
        <v>45</v>
      </c>
      <c r="N18" s="54"/>
      <c r="O18" s="54"/>
      <c r="P18" s="57"/>
    </row>
    <row r="19" spans="2:16" ht="30" customHeight="1">
      <c r="B19" s="58">
        <v>8</v>
      </c>
      <c r="C19" s="126" t="s">
        <v>756</v>
      </c>
      <c r="D19" s="121"/>
      <c r="E19" s="121"/>
      <c r="F19" s="121"/>
      <c r="G19" s="121"/>
      <c r="H19" s="121"/>
      <c r="I19" s="121"/>
      <c r="J19" s="121"/>
      <c r="K19" s="122"/>
      <c r="L19" s="59"/>
      <c r="M19" s="53" t="s">
        <v>45</v>
      </c>
      <c r="N19" s="54"/>
      <c r="O19" s="54"/>
      <c r="P19" s="57"/>
    </row>
    <row r="20" spans="2:16" ht="30" customHeight="1">
      <c r="B20" s="58">
        <v>9</v>
      </c>
      <c r="C20" s="120" t="s">
        <v>741</v>
      </c>
      <c r="D20" s="121"/>
      <c r="E20" s="121"/>
      <c r="F20" s="121"/>
      <c r="G20" s="121"/>
      <c r="H20" s="121"/>
      <c r="I20" s="121"/>
      <c r="J20" s="121"/>
      <c r="K20" s="122"/>
      <c r="L20" s="59"/>
      <c r="M20" s="53" t="s">
        <v>45</v>
      </c>
      <c r="N20" s="54"/>
      <c r="O20" s="54"/>
      <c r="P20" s="57"/>
    </row>
    <row r="21" spans="2:16" ht="30" customHeight="1">
      <c r="B21" s="37">
        <v>10</v>
      </c>
      <c r="C21" s="120" t="s">
        <v>742</v>
      </c>
      <c r="D21" s="121"/>
      <c r="E21" s="121"/>
      <c r="F21" s="121"/>
      <c r="G21" s="121"/>
      <c r="H21" s="121"/>
      <c r="I21" s="121"/>
      <c r="J21" s="121"/>
      <c r="K21" s="122"/>
      <c r="L21" s="59"/>
      <c r="M21" s="53" t="s">
        <v>45</v>
      </c>
      <c r="N21" s="54"/>
      <c r="O21" s="54"/>
      <c r="P21" s="57"/>
    </row>
    <row r="22" spans="2:16" ht="30" customHeight="1">
      <c r="B22" s="58">
        <v>11</v>
      </c>
      <c r="C22" s="120" t="s">
        <v>743</v>
      </c>
      <c r="D22" s="121"/>
      <c r="E22" s="121"/>
      <c r="F22" s="121"/>
      <c r="G22" s="121"/>
      <c r="H22" s="121"/>
      <c r="I22" s="121"/>
      <c r="J22" s="121"/>
      <c r="K22" s="122"/>
      <c r="L22" s="59"/>
      <c r="M22" s="53" t="s">
        <v>45</v>
      </c>
      <c r="N22" s="54"/>
      <c r="O22" s="54"/>
      <c r="P22" s="57"/>
    </row>
    <row r="23" spans="2:16" ht="30" customHeight="1">
      <c r="B23" s="58">
        <v>12</v>
      </c>
      <c r="C23" s="120" t="s">
        <v>744</v>
      </c>
      <c r="D23" s="121"/>
      <c r="E23" s="121"/>
      <c r="F23" s="121"/>
      <c r="G23" s="121"/>
      <c r="H23" s="121"/>
      <c r="I23" s="121"/>
      <c r="J23" s="121"/>
      <c r="K23" s="122"/>
      <c r="L23" s="59"/>
      <c r="M23" s="53" t="s">
        <v>45</v>
      </c>
      <c r="N23" s="54"/>
      <c r="O23" s="54"/>
      <c r="P23" s="57"/>
    </row>
    <row r="24" spans="2:16" ht="30" customHeight="1">
      <c r="B24" s="37">
        <v>13</v>
      </c>
      <c r="C24" s="120" t="s">
        <v>745</v>
      </c>
      <c r="D24" s="121"/>
      <c r="E24" s="121"/>
      <c r="F24" s="121"/>
      <c r="G24" s="121"/>
      <c r="H24" s="121"/>
      <c r="I24" s="121"/>
      <c r="J24" s="121"/>
      <c r="K24" s="122"/>
      <c r="L24" s="59"/>
      <c r="M24" s="53" t="s">
        <v>45</v>
      </c>
      <c r="N24" s="54"/>
      <c r="O24" s="54"/>
      <c r="P24" s="57"/>
    </row>
    <row r="25" spans="2:16" ht="30" customHeight="1">
      <c r="B25" s="58">
        <v>14</v>
      </c>
      <c r="C25" s="120" t="s">
        <v>746</v>
      </c>
      <c r="D25" s="121"/>
      <c r="E25" s="121"/>
      <c r="F25" s="121"/>
      <c r="G25" s="121"/>
      <c r="H25" s="121"/>
      <c r="I25" s="121"/>
      <c r="J25" s="121"/>
      <c r="K25" s="122"/>
      <c r="L25" s="59"/>
      <c r="M25" s="53" t="s">
        <v>45</v>
      </c>
      <c r="N25" s="54"/>
      <c r="O25" s="54"/>
      <c r="P25" s="57"/>
    </row>
    <row r="26" spans="2:16" ht="30" customHeight="1">
      <c r="B26" s="58">
        <v>15</v>
      </c>
      <c r="C26" s="120" t="s">
        <v>747</v>
      </c>
      <c r="D26" s="121"/>
      <c r="E26" s="121"/>
      <c r="F26" s="121"/>
      <c r="G26" s="121"/>
      <c r="H26" s="121"/>
      <c r="I26" s="121"/>
      <c r="J26" s="121"/>
      <c r="K26" s="122"/>
      <c r="L26" s="59"/>
      <c r="M26" s="53" t="s">
        <v>45</v>
      </c>
      <c r="N26" s="54"/>
      <c r="O26" s="54"/>
      <c r="P26" s="57"/>
    </row>
    <row r="27" spans="2:16" ht="30" customHeight="1">
      <c r="B27" s="37">
        <v>16</v>
      </c>
      <c r="C27" s="120" t="s">
        <v>748</v>
      </c>
      <c r="D27" s="121"/>
      <c r="E27" s="121"/>
      <c r="F27" s="121"/>
      <c r="G27" s="121"/>
      <c r="H27" s="121"/>
      <c r="I27" s="121"/>
      <c r="J27" s="121"/>
      <c r="K27" s="122"/>
      <c r="L27" s="59"/>
      <c r="M27" s="53" t="s">
        <v>45</v>
      </c>
      <c r="N27" s="54"/>
      <c r="O27" s="54"/>
      <c r="P27" s="57"/>
    </row>
    <row r="28" spans="2:16" ht="30" customHeight="1">
      <c r="B28" s="58">
        <v>17</v>
      </c>
      <c r="C28" s="120" t="s">
        <v>749</v>
      </c>
      <c r="D28" s="121"/>
      <c r="E28" s="121"/>
      <c r="F28" s="121"/>
      <c r="G28" s="121"/>
      <c r="H28" s="121"/>
      <c r="I28" s="121"/>
      <c r="J28" s="121"/>
      <c r="K28" s="122"/>
      <c r="L28" s="59"/>
      <c r="M28" s="53" t="s">
        <v>45</v>
      </c>
      <c r="N28" s="54"/>
      <c r="O28" s="54"/>
      <c r="P28" s="57"/>
    </row>
    <row r="29" spans="2:16" ht="30" customHeight="1">
      <c r="B29" s="58">
        <v>18</v>
      </c>
      <c r="C29" s="126" t="s">
        <v>758</v>
      </c>
      <c r="D29" s="121"/>
      <c r="E29" s="121"/>
      <c r="F29" s="121"/>
      <c r="G29" s="121"/>
      <c r="H29" s="121"/>
      <c r="I29" s="121"/>
      <c r="J29" s="121"/>
      <c r="K29" s="122"/>
      <c r="L29" s="59"/>
      <c r="M29" s="53" t="s">
        <v>45</v>
      </c>
      <c r="N29" s="54"/>
      <c r="O29" s="54"/>
      <c r="P29" s="57"/>
    </row>
    <row r="30" spans="2:16" ht="30" customHeight="1">
      <c r="B30" s="37">
        <v>19</v>
      </c>
      <c r="C30" s="120" t="s">
        <v>750</v>
      </c>
      <c r="D30" s="121"/>
      <c r="E30" s="121"/>
      <c r="F30" s="121"/>
      <c r="G30" s="121"/>
      <c r="H30" s="121"/>
      <c r="I30" s="121"/>
      <c r="J30" s="121"/>
      <c r="K30" s="122"/>
      <c r="L30" s="59"/>
      <c r="M30" s="53" t="s">
        <v>45</v>
      </c>
      <c r="N30" s="54"/>
      <c r="O30" s="54"/>
      <c r="P30" s="57"/>
    </row>
    <row r="31" spans="2:16" ht="30" customHeight="1">
      <c r="B31" s="58">
        <v>20</v>
      </c>
      <c r="C31" s="120" t="s">
        <v>751</v>
      </c>
      <c r="D31" s="121"/>
      <c r="E31" s="121"/>
      <c r="F31" s="121"/>
      <c r="G31" s="121"/>
      <c r="H31" s="121"/>
      <c r="I31" s="121"/>
      <c r="J31" s="121"/>
      <c r="K31" s="122"/>
      <c r="L31" s="59"/>
      <c r="M31" s="53" t="s">
        <v>45</v>
      </c>
      <c r="N31" s="54"/>
      <c r="O31" s="54"/>
      <c r="P31" s="57"/>
    </row>
    <row r="32" spans="2:16" ht="30" customHeight="1">
      <c r="B32" s="58">
        <v>21</v>
      </c>
      <c r="C32" s="120" t="s">
        <v>752</v>
      </c>
      <c r="D32" s="121"/>
      <c r="E32" s="121"/>
      <c r="F32" s="121"/>
      <c r="G32" s="121"/>
      <c r="H32" s="121"/>
      <c r="I32" s="121"/>
      <c r="J32" s="121"/>
      <c r="K32" s="122"/>
      <c r="L32" s="59"/>
      <c r="M32" s="53" t="s">
        <v>45</v>
      </c>
      <c r="N32" s="54"/>
      <c r="O32" s="54"/>
      <c r="P32" s="57"/>
    </row>
    <row r="33" spans="2:16" ht="30" customHeight="1">
      <c r="B33" s="37">
        <v>22</v>
      </c>
      <c r="C33" s="120" t="s">
        <v>753</v>
      </c>
      <c r="D33" s="121"/>
      <c r="E33" s="121"/>
      <c r="F33" s="121"/>
      <c r="G33" s="121"/>
      <c r="H33" s="121"/>
      <c r="I33" s="121"/>
      <c r="J33" s="121"/>
      <c r="K33" s="122"/>
      <c r="L33" s="59"/>
      <c r="M33" s="53" t="s">
        <v>45</v>
      </c>
      <c r="N33" s="54"/>
      <c r="O33" s="54"/>
      <c r="P33" s="57"/>
    </row>
    <row r="34" spans="2:16" ht="30" customHeight="1">
      <c r="B34" s="58">
        <v>23</v>
      </c>
      <c r="C34" s="120" t="s">
        <v>754</v>
      </c>
      <c r="D34" s="121"/>
      <c r="E34" s="121"/>
      <c r="F34" s="121"/>
      <c r="G34" s="121"/>
      <c r="H34" s="121"/>
      <c r="I34" s="121"/>
      <c r="J34" s="121"/>
      <c r="K34" s="122"/>
      <c r="L34" s="59"/>
      <c r="M34" s="53" t="s">
        <v>45</v>
      </c>
      <c r="N34" s="54"/>
      <c r="O34" s="54"/>
      <c r="P34" s="57"/>
    </row>
    <row r="35" spans="2:16" ht="30" customHeight="1">
      <c r="B35" s="58">
        <v>24</v>
      </c>
      <c r="C35" s="120" t="s">
        <v>755</v>
      </c>
      <c r="D35" s="121"/>
      <c r="E35" s="121"/>
      <c r="F35" s="121"/>
      <c r="G35" s="121"/>
      <c r="H35" s="121"/>
      <c r="I35" s="121"/>
      <c r="J35" s="121"/>
      <c r="K35" s="122"/>
      <c r="L35" s="59"/>
      <c r="M35" s="53" t="s">
        <v>45</v>
      </c>
      <c r="N35" s="54"/>
      <c r="O35" s="54"/>
      <c r="P35" s="57"/>
    </row>
    <row r="36" spans="2:16" ht="30" customHeight="1">
      <c r="B36" s="37">
        <v>25</v>
      </c>
      <c r="C36" s="126" t="s">
        <v>759</v>
      </c>
      <c r="D36" s="121"/>
      <c r="E36" s="121"/>
      <c r="F36" s="121"/>
      <c r="G36" s="121"/>
      <c r="H36" s="121"/>
      <c r="I36" s="121"/>
      <c r="J36" s="121"/>
      <c r="K36" s="122"/>
      <c r="L36" s="59"/>
      <c r="M36" s="53" t="s">
        <v>45</v>
      </c>
      <c r="N36" s="54"/>
      <c r="O36" s="54"/>
      <c r="P36" s="57"/>
    </row>
    <row r="37" spans="2:16" ht="30" customHeight="1">
      <c r="B37" s="58">
        <v>26</v>
      </c>
      <c r="C37" s="126" t="s">
        <v>760</v>
      </c>
      <c r="D37" s="121"/>
      <c r="E37" s="121"/>
      <c r="F37" s="121"/>
      <c r="G37" s="121"/>
      <c r="H37" s="121"/>
      <c r="I37" s="121"/>
      <c r="J37" s="121"/>
      <c r="K37" s="122"/>
      <c r="L37" s="59"/>
      <c r="M37" s="53" t="s">
        <v>45</v>
      </c>
      <c r="N37" s="54"/>
      <c r="O37" s="54"/>
      <c r="P37" s="57"/>
    </row>
    <row r="38" spans="2:16" ht="30" customHeight="1">
      <c r="B38" s="58">
        <v>27</v>
      </c>
      <c r="C38" s="126" t="s">
        <v>761</v>
      </c>
      <c r="D38" s="121"/>
      <c r="E38" s="121"/>
      <c r="F38" s="121"/>
      <c r="G38" s="121"/>
      <c r="H38" s="121"/>
      <c r="I38" s="121"/>
      <c r="J38" s="121"/>
      <c r="K38" s="122"/>
      <c r="L38" s="59"/>
      <c r="M38" s="53" t="s">
        <v>45</v>
      </c>
      <c r="N38" s="54"/>
      <c r="O38" s="54"/>
      <c r="P38" s="57"/>
    </row>
    <row r="39" spans="2:16" ht="30" customHeight="1">
      <c r="B39" s="37">
        <v>28</v>
      </c>
      <c r="C39" s="126" t="s">
        <v>762</v>
      </c>
      <c r="D39" s="121"/>
      <c r="E39" s="121"/>
      <c r="F39" s="121"/>
      <c r="G39" s="121"/>
      <c r="H39" s="121"/>
      <c r="I39" s="121"/>
      <c r="J39" s="121"/>
      <c r="K39" s="122"/>
      <c r="L39" s="59"/>
      <c r="M39" s="53" t="s">
        <v>45</v>
      </c>
      <c r="N39" s="54"/>
      <c r="O39" s="54"/>
      <c r="P39" s="57"/>
    </row>
    <row r="40" spans="2:16" ht="30" customHeight="1">
      <c r="B40" s="58">
        <v>29</v>
      </c>
      <c r="C40" s="126" t="s">
        <v>763</v>
      </c>
      <c r="D40" s="121"/>
      <c r="E40" s="121"/>
      <c r="F40" s="121"/>
      <c r="G40" s="121"/>
      <c r="H40" s="121"/>
      <c r="I40" s="121"/>
      <c r="J40" s="121"/>
      <c r="K40" s="122"/>
      <c r="L40" s="59"/>
      <c r="M40" s="53" t="s">
        <v>45</v>
      </c>
      <c r="N40" s="54"/>
      <c r="O40" s="54"/>
      <c r="P40" s="57"/>
    </row>
    <row r="41" spans="2:16" ht="30" customHeight="1">
      <c r="B41" s="58">
        <v>30</v>
      </c>
      <c r="C41" s="126" t="s">
        <v>764</v>
      </c>
      <c r="D41" s="121"/>
      <c r="E41" s="121"/>
      <c r="F41" s="121"/>
      <c r="G41" s="121"/>
      <c r="H41" s="121"/>
      <c r="I41" s="121"/>
      <c r="J41" s="121"/>
      <c r="K41" s="122"/>
      <c r="L41" s="59"/>
      <c r="M41" s="53" t="s">
        <v>45</v>
      </c>
      <c r="N41" s="54"/>
      <c r="O41" s="54"/>
      <c r="P41" s="57"/>
    </row>
    <row r="42" spans="2:16" ht="30" customHeight="1">
      <c r="B42" s="37">
        <v>31</v>
      </c>
      <c r="C42" s="126" t="s">
        <v>765</v>
      </c>
      <c r="D42" s="121"/>
      <c r="E42" s="121"/>
      <c r="F42" s="121"/>
      <c r="G42" s="121"/>
      <c r="H42" s="121"/>
      <c r="I42" s="121"/>
      <c r="J42" s="121"/>
      <c r="K42" s="122"/>
      <c r="L42" s="59"/>
      <c r="M42" s="53" t="s">
        <v>45</v>
      </c>
      <c r="N42" s="54"/>
      <c r="O42" s="54"/>
      <c r="P42" s="57"/>
    </row>
    <row r="43" spans="2:16" ht="30" customHeight="1">
      <c r="B43" s="58">
        <v>32</v>
      </c>
      <c r="C43" s="126" t="s">
        <v>766</v>
      </c>
      <c r="D43" s="121"/>
      <c r="E43" s="121"/>
      <c r="F43" s="121"/>
      <c r="G43" s="121"/>
      <c r="H43" s="121"/>
      <c r="I43" s="121"/>
      <c r="J43" s="121"/>
      <c r="K43" s="122"/>
      <c r="L43" s="59"/>
      <c r="M43" s="53" t="s">
        <v>45</v>
      </c>
      <c r="N43" s="54"/>
      <c r="O43" s="54"/>
      <c r="P43" s="57"/>
    </row>
    <row r="44" spans="2:16" ht="30" customHeight="1">
      <c r="B44" s="58">
        <v>33</v>
      </c>
      <c r="C44" s="126" t="s">
        <v>767</v>
      </c>
      <c r="D44" s="121"/>
      <c r="E44" s="121"/>
      <c r="F44" s="121"/>
      <c r="G44" s="121"/>
      <c r="H44" s="121"/>
      <c r="I44" s="121"/>
      <c r="J44" s="121"/>
      <c r="K44" s="122"/>
      <c r="L44" s="59"/>
      <c r="M44" s="53" t="s">
        <v>45</v>
      </c>
      <c r="N44" s="54"/>
      <c r="O44" s="54"/>
      <c r="P44" s="57"/>
    </row>
    <row r="45" spans="2:16" ht="30" customHeight="1">
      <c r="B45" s="37">
        <v>34</v>
      </c>
      <c r="C45" s="126" t="s">
        <v>768</v>
      </c>
      <c r="D45" s="121"/>
      <c r="E45" s="121"/>
      <c r="F45" s="121"/>
      <c r="G45" s="121"/>
      <c r="H45" s="121"/>
      <c r="I45" s="121"/>
      <c r="J45" s="121"/>
      <c r="K45" s="122"/>
      <c r="L45" s="59"/>
      <c r="M45" s="53" t="s">
        <v>45</v>
      </c>
      <c r="N45" s="54"/>
      <c r="O45" s="54"/>
      <c r="P45" s="57"/>
    </row>
    <row r="46" spans="2:16" ht="30" customHeight="1">
      <c r="B46" s="58">
        <v>35</v>
      </c>
      <c r="C46" s="126" t="s">
        <v>769</v>
      </c>
      <c r="D46" s="121"/>
      <c r="E46" s="121"/>
      <c r="F46" s="121"/>
      <c r="G46" s="121"/>
      <c r="H46" s="121"/>
      <c r="I46" s="121"/>
      <c r="J46" s="121"/>
      <c r="K46" s="122"/>
      <c r="L46" s="59"/>
      <c r="M46" s="53" t="s">
        <v>45</v>
      </c>
      <c r="N46" s="54"/>
      <c r="O46" s="54"/>
      <c r="P46" s="57"/>
    </row>
    <row r="47" spans="2:16" ht="30" customHeight="1">
      <c r="B47" s="58">
        <v>36</v>
      </c>
      <c r="C47" s="126" t="s">
        <v>770</v>
      </c>
      <c r="D47" s="121"/>
      <c r="E47" s="121"/>
      <c r="F47" s="121"/>
      <c r="G47" s="121"/>
      <c r="H47" s="121"/>
      <c r="I47" s="121"/>
      <c r="J47" s="121"/>
      <c r="K47" s="122"/>
      <c r="L47" s="59"/>
      <c r="M47" s="53" t="s">
        <v>45</v>
      </c>
      <c r="N47" s="54"/>
      <c r="O47" s="54"/>
      <c r="P47" s="57"/>
    </row>
    <row r="48" spans="2:16" ht="30" customHeight="1">
      <c r="B48" s="37">
        <v>37</v>
      </c>
      <c r="C48" s="126" t="s">
        <v>771</v>
      </c>
      <c r="D48" s="121"/>
      <c r="E48" s="121"/>
      <c r="F48" s="121"/>
      <c r="G48" s="121"/>
      <c r="H48" s="121"/>
      <c r="I48" s="121"/>
      <c r="J48" s="121"/>
      <c r="K48" s="122"/>
      <c r="L48" s="59"/>
      <c r="M48" s="53" t="s">
        <v>45</v>
      </c>
      <c r="N48" s="54"/>
      <c r="O48" s="54"/>
      <c r="P48" s="57"/>
    </row>
    <row r="49" spans="2:16" ht="30" customHeight="1">
      <c r="B49" s="58">
        <v>38</v>
      </c>
      <c r="C49" s="126" t="s">
        <v>772</v>
      </c>
      <c r="D49" s="121"/>
      <c r="E49" s="121"/>
      <c r="F49" s="121"/>
      <c r="G49" s="121"/>
      <c r="H49" s="121"/>
      <c r="I49" s="121"/>
      <c r="J49" s="121"/>
      <c r="K49" s="122"/>
      <c r="L49" s="59"/>
      <c r="M49" s="53" t="s">
        <v>45</v>
      </c>
      <c r="N49" s="54"/>
      <c r="O49" s="54"/>
      <c r="P49" s="57"/>
    </row>
    <row r="50" spans="2:16" ht="30" customHeight="1">
      <c r="B50" s="58">
        <v>39</v>
      </c>
      <c r="C50" s="126" t="s">
        <v>774</v>
      </c>
      <c r="D50" s="121"/>
      <c r="E50" s="121"/>
      <c r="F50" s="121"/>
      <c r="G50" s="121"/>
      <c r="H50" s="121"/>
      <c r="I50" s="121"/>
      <c r="J50" s="121"/>
      <c r="K50" s="122"/>
      <c r="L50" s="59"/>
      <c r="M50" s="53" t="s">
        <v>45</v>
      </c>
      <c r="N50" s="54"/>
      <c r="O50" s="54"/>
      <c r="P50" s="57"/>
    </row>
    <row r="51" spans="2:16" ht="30" customHeight="1">
      <c r="B51" s="37">
        <v>40</v>
      </c>
      <c r="C51" s="126" t="s">
        <v>773</v>
      </c>
      <c r="D51" s="121"/>
      <c r="E51" s="121"/>
      <c r="F51" s="121"/>
      <c r="G51" s="121"/>
      <c r="H51" s="121"/>
      <c r="I51" s="121"/>
      <c r="J51" s="121"/>
      <c r="K51" s="122"/>
      <c r="L51" s="59"/>
      <c r="M51" s="53" t="s">
        <v>45</v>
      </c>
      <c r="N51" s="54"/>
      <c r="O51" s="54"/>
      <c r="P51" s="57"/>
    </row>
    <row r="52" spans="2:16" ht="30" customHeight="1">
      <c r="B52" s="58">
        <v>41</v>
      </c>
      <c r="C52" s="126" t="s">
        <v>775</v>
      </c>
      <c r="D52" s="121"/>
      <c r="E52" s="121"/>
      <c r="F52" s="121"/>
      <c r="G52" s="121"/>
      <c r="H52" s="121"/>
      <c r="I52" s="121"/>
      <c r="J52" s="121"/>
      <c r="K52" s="122"/>
      <c r="L52" s="59"/>
      <c r="M52" s="53" t="s">
        <v>45</v>
      </c>
      <c r="N52" s="54"/>
      <c r="O52" s="54"/>
      <c r="P52" s="57"/>
    </row>
    <row r="53" spans="2:16" ht="30" customHeight="1">
      <c r="B53" s="58">
        <v>42</v>
      </c>
      <c r="C53" s="126" t="s">
        <v>776</v>
      </c>
      <c r="D53" s="121"/>
      <c r="E53" s="121"/>
      <c r="F53" s="121"/>
      <c r="G53" s="121"/>
      <c r="H53" s="121"/>
      <c r="I53" s="121"/>
      <c r="J53" s="121"/>
      <c r="K53" s="122"/>
      <c r="L53" s="59"/>
      <c r="M53" s="53" t="s">
        <v>45</v>
      </c>
      <c r="N53" s="54"/>
      <c r="O53" s="54"/>
      <c r="P53" s="57"/>
    </row>
    <row r="54" spans="2:16" ht="30" customHeight="1">
      <c r="B54" s="37">
        <v>43</v>
      </c>
      <c r="C54" s="126" t="s">
        <v>777</v>
      </c>
      <c r="D54" s="121"/>
      <c r="E54" s="121"/>
      <c r="F54" s="121"/>
      <c r="G54" s="121"/>
      <c r="H54" s="121"/>
      <c r="I54" s="121"/>
      <c r="J54" s="121"/>
      <c r="K54" s="122"/>
      <c r="L54" s="59"/>
      <c r="M54" s="53" t="s">
        <v>45</v>
      </c>
      <c r="N54" s="54"/>
      <c r="O54" s="54"/>
      <c r="P54" s="57"/>
    </row>
    <row r="55" spans="2:16" ht="30" customHeight="1">
      <c r="B55" s="58">
        <v>44</v>
      </c>
      <c r="C55" s="126" t="s">
        <v>778</v>
      </c>
      <c r="D55" s="121"/>
      <c r="E55" s="121"/>
      <c r="F55" s="121"/>
      <c r="G55" s="121"/>
      <c r="H55" s="121"/>
      <c r="I55" s="121"/>
      <c r="J55" s="121"/>
      <c r="K55" s="122"/>
      <c r="L55" s="59"/>
      <c r="M55" s="53" t="s">
        <v>45</v>
      </c>
      <c r="N55" s="54"/>
      <c r="O55" s="54"/>
      <c r="P55" s="57"/>
    </row>
    <row r="56" spans="2:16" ht="30" customHeight="1">
      <c r="B56" s="58">
        <v>45</v>
      </c>
      <c r="C56" s="126" t="s">
        <v>779</v>
      </c>
      <c r="D56" s="121"/>
      <c r="E56" s="121"/>
      <c r="F56" s="121"/>
      <c r="G56" s="121"/>
      <c r="H56" s="121"/>
      <c r="I56" s="121"/>
      <c r="J56" s="121"/>
      <c r="K56" s="122"/>
      <c r="L56" s="59"/>
      <c r="M56" s="53" t="s">
        <v>45</v>
      </c>
      <c r="N56" s="54"/>
      <c r="O56" s="54"/>
      <c r="P56" s="57"/>
    </row>
    <row r="57" spans="2:16" ht="30" customHeight="1">
      <c r="B57" s="37">
        <v>46</v>
      </c>
      <c r="C57" s="126" t="s">
        <v>780</v>
      </c>
      <c r="D57" s="121"/>
      <c r="E57" s="121"/>
      <c r="F57" s="121"/>
      <c r="G57" s="121"/>
      <c r="H57" s="121"/>
      <c r="I57" s="121"/>
      <c r="J57" s="121"/>
      <c r="K57" s="122"/>
      <c r="L57" s="59"/>
      <c r="M57" s="53" t="s">
        <v>45</v>
      </c>
      <c r="N57" s="54"/>
      <c r="O57" s="54"/>
      <c r="P57" s="57"/>
    </row>
    <row r="58" spans="2:16" ht="30" customHeight="1">
      <c r="B58" s="58">
        <v>47</v>
      </c>
      <c r="C58" s="126" t="s">
        <v>781</v>
      </c>
      <c r="D58" s="121"/>
      <c r="E58" s="121"/>
      <c r="F58" s="121"/>
      <c r="G58" s="121"/>
      <c r="H58" s="121"/>
      <c r="I58" s="121"/>
      <c r="J58" s="121"/>
      <c r="K58" s="122"/>
      <c r="L58" s="59"/>
      <c r="M58" s="53" t="s">
        <v>45</v>
      </c>
      <c r="N58" s="54"/>
      <c r="O58" s="54"/>
      <c r="P58" s="57"/>
    </row>
    <row r="59" spans="2:16" ht="30" customHeight="1">
      <c r="B59" s="58">
        <v>48</v>
      </c>
      <c r="C59" s="126" t="s">
        <v>782</v>
      </c>
      <c r="D59" s="121"/>
      <c r="E59" s="121"/>
      <c r="F59" s="121"/>
      <c r="G59" s="121"/>
      <c r="H59" s="121"/>
      <c r="I59" s="121"/>
      <c r="J59" s="121"/>
      <c r="K59" s="122"/>
      <c r="L59" s="59"/>
      <c r="M59" s="53" t="s">
        <v>45</v>
      </c>
      <c r="N59" s="54"/>
      <c r="O59" s="54"/>
      <c r="P59" s="57"/>
    </row>
    <row r="60" spans="2:16" ht="30" customHeight="1">
      <c r="B60" s="37">
        <v>49</v>
      </c>
      <c r="C60" s="126" t="s">
        <v>783</v>
      </c>
      <c r="D60" s="121"/>
      <c r="E60" s="121"/>
      <c r="F60" s="121"/>
      <c r="G60" s="121"/>
      <c r="H60" s="121"/>
      <c r="I60" s="121"/>
      <c r="J60" s="121"/>
      <c r="K60" s="122"/>
      <c r="L60" s="59"/>
      <c r="M60" s="53" t="s">
        <v>45</v>
      </c>
      <c r="N60" s="54"/>
      <c r="O60" s="54"/>
      <c r="P60" s="57"/>
    </row>
    <row r="61" spans="2:16" ht="30" customHeight="1">
      <c r="B61" s="58">
        <v>50</v>
      </c>
      <c r="C61" s="126" t="s">
        <v>784</v>
      </c>
      <c r="D61" s="121"/>
      <c r="E61" s="121"/>
      <c r="F61" s="121"/>
      <c r="G61" s="121"/>
      <c r="H61" s="121"/>
      <c r="I61" s="121"/>
      <c r="J61" s="121"/>
      <c r="K61" s="122"/>
      <c r="L61" s="59"/>
      <c r="M61" s="53" t="s">
        <v>45</v>
      </c>
      <c r="N61" s="54"/>
      <c r="O61" s="54"/>
      <c r="P61" s="57"/>
    </row>
    <row r="62" spans="2:16" ht="30" customHeight="1">
      <c r="B62" s="58">
        <v>51</v>
      </c>
      <c r="C62" s="126" t="s">
        <v>785</v>
      </c>
      <c r="D62" s="121"/>
      <c r="E62" s="121"/>
      <c r="F62" s="121"/>
      <c r="G62" s="121"/>
      <c r="H62" s="121"/>
      <c r="I62" s="121"/>
      <c r="J62" s="121"/>
      <c r="K62" s="122"/>
      <c r="L62" s="59"/>
      <c r="M62" s="53" t="s">
        <v>45</v>
      </c>
      <c r="N62" s="54"/>
      <c r="O62" s="54"/>
      <c r="P62" s="57"/>
    </row>
    <row r="63" spans="2:16" ht="30" customHeight="1">
      <c r="B63" s="37">
        <v>52</v>
      </c>
      <c r="C63" s="126" t="s">
        <v>788</v>
      </c>
      <c r="D63" s="121"/>
      <c r="E63" s="121"/>
      <c r="F63" s="121"/>
      <c r="G63" s="121"/>
      <c r="H63" s="121"/>
      <c r="I63" s="121"/>
      <c r="J63" s="121"/>
      <c r="K63" s="122"/>
      <c r="L63" s="59"/>
      <c r="M63" s="53" t="s">
        <v>45</v>
      </c>
      <c r="N63" s="54"/>
      <c r="O63" s="54"/>
      <c r="P63" s="57"/>
    </row>
    <row r="64" spans="2:16" ht="30" customHeight="1">
      <c r="B64" s="58">
        <v>53</v>
      </c>
      <c r="C64" s="126" t="s">
        <v>802</v>
      </c>
      <c r="D64" s="121"/>
      <c r="E64" s="121"/>
      <c r="F64" s="121"/>
      <c r="G64" s="121"/>
      <c r="H64" s="121"/>
      <c r="I64" s="121"/>
      <c r="J64" s="121"/>
      <c r="K64" s="122"/>
      <c r="L64" s="59"/>
      <c r="M64" s="53" t="s">
        <v>45</v>
      </c>
      <c r="N64" s="54"/>
      <c r="O64" s="54"/>
      <c r="P64" s="57"/>
    </row>
    <row r="65" spans="2:16" ht="30" customHeight="1">
      <c r="B65" s="58">
        <v>54</v>
      </c>
      <c r="C65" s="126" t="s">
        <v>789</v>
      </c>
      <c r="D65" s="121"/>
      <c r="E65" s="121"/>
      <c r="F65" s="121"/>
      <c r="G65" s="121"/>
      <c r="H65" s="121"/>
      <c r="I65" s="121"/>
      <c r="J65" s="121"/>
      <c r="K65" s="122"/>
      <c r="L65" s="59"/>
      <c r="M65" s="53" t="s">
        <v>45</v>
      </c>
      <c r="N65" s="54"/>
      <c r="O65" s="54"/>
      <c r="P65" s="57"/>
    </row>
    <row r="66" spans="2:16" ht="30" customHeight="1">
      <c r="B66" s="37">
        <v>55</v>
      </c>
      <c r="C66" s="126" t="s">
        <v>790</v>
      </c>
      <c r="D66" s="121"/>
      <c r="E66" s="121"/>
      <c r="F66" s="121"/>
      <c r="G66" s="121"/>
      <c r="H66" s="121"/>
      <c r="I66" s="121"/>
      <c r="J66" s="121"/>
      <c r="K66" s="122"/>
      <c r="L66" s="59"/>
      <c r="M66" s="53" t="s">
        <v>45</v>
      </c>
      <c r="N66" s="54"/>
      <c r="O66" s="54"/>
      <c r="P66" s="57"/>
    </row>
    <row r="67" spans="2:16" ht="30" customHeight="1">
      <c r="B67" s="58">
        <v>56</v>
      </c>
      <c r="C67" s="126" t="s">
        <v>801</v>
      </c>
      <c r="D67" s="121"/>
      <c r="E67" s="121"/>
      <c r="F67" s="121"/>
      <c r="G67" s="121"/>
      <c r="H67" s="121"/>
      <c r="I67" s="121"/>
      <c r="J67" s="121"/>
      <c r="K67" s="122"/>
      <c r="L67" s="59"/>
      <c r="M67" s="53" t="s">
        <v>45</v>
      </c>
      <c r="N67" s="54"/>
      <c r="O67" s="54"/>
      <c r="P67" s="57"/>
    </row>
    <row r="68" spans="2:16" ht="30" customHeight="1">
      <c r="B68" s="58">
        <v>57</v>
      </c>
      <c r="C68" s="126" t="s">
        <v>803</v>
      </c>
      <c r="D68" s="121"/>
      <c r="E68" s="121"/>
      <c r="F68" s="121"/>
      <c r="G68" s="121"/>
      <c r="H68" s="121"/>
      <c r="I68" s="121"/>
      <c r="J68" s="121"/>
      <c r="K68" s="122"/>
      <c r="L68" s="59"/>
      <c r="M68" s="53" t="s">
        <v>45</v>
      </c>
      <c r="N68" s="54"/>
      <c r="O68" s="54"/>
      <c r="P68" s="57"/>
    </row>
    <row r="69" spans="2:16" ht="30" customHeight="1">
      <c r="B69" s="37">
        <v>58</v>
      </c>
      <c r="C69" s="126" t="s">
        <v>804</v>
      </c>
      <c r="D69" s="121"/>
      <c r="E69" s="121"/>
      <c r="F69" s="121"/>
      <c r="G69" s="121"/>
      <c r="H69" s="121"/>
      <c r="I69" s="121"/>
      <c r="J69" s="121"/>
      <c r="K69" s="122"/>
      <c r="L69" s="59"/>
      <c r="M69" s="53" t="s">
        <v>45</v>
      </c>
      <c r="N69" s="54"/>
      <c r="O69" s="54"/>
      <c r="P69" s="57"/>
    </row>
    <row r="70" spans="2:16" ht="30" customHeight="1">
      <c r="B70" s="58">
        <v>59</v>
      </c>
      <c r="C70" s="126" t="s">
        <v>805</v>
      </c>
      <c r="D70" s="121"/>
      <c r="E70" s="121"/>
      <c r="F70" s="121"/>
      <c r="G70" s="121"/>
      <c r="H70" s="121"/>
      <c r="I70" s="121"/>
      <c r="J70" s="121"/>
      <c r="K70" s="122"/>
      <c r="L70" s="59"/>
      <c r="M70" s="53" t="s">
        <v>45</v>
      </c>
      <c r="N70" s="54"/>
      <c r="O70" s="54"/>
      <c r="P70" s="57"/>
    </row>
    <row r="71" spans="2:16" ht="30" customHeight="1">
      <c r="B71" s="58">
        <v>60</v>
      </c>
      <c r="C71" s="126" t="s">
        <v>806</v>
      </c>
      <c r="D71" s="121"/>
      <c r="E71" s="121"/>
      <c r="F71" s="121"/>
      <c r="G71" s="121"/>
      <c r="H71" s="121"/>
      <c r="I71" s="121"/>
      <c r="J71" s="121"/>
      <c r="K71" s="122"/>
      <c r="L71" s="59"/>
      <c r="M71" s="53" t="s">
        <v>45</v>
      </c>
      <c r="N71" s="54"/>
      <c r="O71" s="54"/>
      <c r="P71" s="57"/>
    </row>
    <row r="72" spans="2:16" ht="30" customHeight="1">
      <c r="B72" s="37">
        <v>61</v>
      </c>
      <c r="C72" s="126" t="s">
        <v>807</v>
      </c>
      <c r="D72" s="121"/>
      <c r="E72" s="121"/>
      <c r="F72" s="121"/>
      <c r="G72" s="121"/>
      <c r="H72" s="121"/>
      <c r="I72" s="121"/>
      <c r="J72" s="121"/>
      <c r="K72" s="122"/>
      <c r="L72" s="59"/>
      <c r="M72" s="53" t="s">
        <v>45</v>
      </c>
      <c r="N72" s="54"/>
      <c r="O72" s="54"/>
      <c r="P72" s="57"/>
    </row>
    <row r="73" spans="2:16" ht="30" customHeight="1">
      <c r="B73" s="58">
        <v>62</v>
      </c>
      <c r="C73" s="126" t="s">
        <v>808</v>
      </c>
      <c r="D73" s="121"/>
      <c r="E73" s="121"/>
      <c r="F73" s="121"/>
      <c r="G73" s="121"/>
      <c r="H73" s="121"/>
      <c r="I73" s="121"/>
      <c r="J73" s="121"/>
      <c r="K73" s="122"/>
      <c r="L73" s="59"/>
      <c r="M73" s="53" t="s">
        <v>45</v>
      </c>
      <c r="N73" s="54"/>
      <c r="O73" s="54"/>
      <c r="P73" s="57"/>
    </row>
    <row r="74" spans="2:16" ht="30" customHeight="1">
      <c r="B74" s="58">
        <v>63</v>
      </c>
      <c r="C74" s="126" t="s">
        <v>809</v>
      </c>
      <c r="D74" s="121"/>
      <c r="E74" s="121"/>
      <c r="F74" s="121"/>
      <c r="G74" s="121"/>
      <c r="H74" s="121"/>
      <c r="I74" s="121"/>
      <c r="J74" s="121"/>
      <c r="K74" s="122"/>
      <c r="L74" s="59"/>
      <c r="M74" s="53" t="s">
        <v>45</v>
      </c>
      <c r="N74" s="54"/>
      <c r="O74" s="54"/>
      <c r="P74" s="57"/>
    </row>
    <row r="75" spans="2:16" ht="30" customHeight="1">
      <c r="B75" s="37">
        <v>64</v>
      </c>
      <c r="C75" s="126" t="s">
        <v>810</v>
      </c>
      <c r="D75" s="121"/>
      <c r="E75" s="121"/>
      <c r="F75" s="121"/>
      <c r="G75" s="121"/>
      <c r="H75" s="121"/>
      <c r="I75" s="121"/>
      <c r="J75" s="121"/>
      <c r="K75" s="122"/>
      <c r="L75" s="59"/>
      <c r="M75" s="53" t="s">
        <v>45</v>
      </c>
      <c r="N75" s="54"/>
      <c r="O75" s="54"/>
      <c r="P75" s="57"/>
    </row>
    <row r="76" spans="2:16" ht="30" customHeight="1">
      <c r="B76" s="58">
        <v>65</v>
      </c>
      <c r="C76" s="126" t="s">
        <v>811</v>
      </c>
      <c r="D76" s="121"/>
      <c r="E76" s="121"/>
      <c r="F76" s="121"/>
      <c r="G76" s="121"/>
      <c r="H76" s="121"/>
      <c r="I76" s="121"/>
      <c r="J76" s="121"/>
      <c r="K76" s="122"/>
      <c r="L76" s="59"/>
      <c r="M76" s="53" t="s">
        <v>45</v>
      </c>
      <c r="N76" s="54"/>
      <c r="O76" s="54"/>
      <c r="P76" s="57"/>
    </row>
    <row r="77" spans="2:16" ht="30" customHeight="1">
      <c r="B77" s="58">
        <v>66</v>
      </c>
      <c r="C77" s="126" t="s">
        <v>812</v>
      </c>
      <c r="D77" s="121"/>
      <c r="E77" s="121"/>
      <c r="F77" s="121"/>
      <c r="G77" s="121"/>
      <c r="H77" s="121"/>
      <c r="I77" s="121"/>
      <c r="J77" s="121"/>
      <c r="K77" s="122"/>
      <c r="L77" s="59"/>
      <c r="M77" s="53" t="s">
        <v>45</v>
      </c>
      <c r="N77" s="54"/>
      <c r="O77" s="54"/>
      <c r="P77" s="57"/>
    </row>
    <row r="78" spans="2:16" ht="30" customHeight="1">
      <c r="B78" s="37">
        <v>67</v>
      </c>
      <c r="C78" s="126" t="s">
        <v>813</v>
      </c>
      <c r="D78" s="121"/>
      <c r="E78" s="121"/>
      <c r="F78" s="121"/>
      <c r="G78" s="121"/>
      <c r="H78" s="121"/>
      <c r="I78" s="121"/>
      <c r="J78" s="121"/>
      <c r="K78" s="122"/>
      <c r="L78" s="59"/>
      <c r="M78" s="53" t="s">
        <v>45</v>
      </c>
      <c r="N78" s="54"/>
      <c r="O78" s="54"/>
      <c r="P78" s="57"/>
    </row>
    <row r="79" spans="2:16" ht="30" customHeight="1">
      <c r="B79" s="58">
        <v>68</v>
      </c>
      <c r="C79" s="126" t="s">
        <v>814</v>
      </c>
      <c r="D79" s="121"/>
      <c r="E79" s="121"/>
      <c r="F79" s="121"/>
      <c r="G79" s="121"/>
      <c r="H79" s="121"/>
      <c r="I79" s="121"/>
      <c r="J79" s="121"/>
      <c r="K79" s="122"/>
      <c r="L79" s="59"/>
      <c r="M79" s="53" t="s">
        <v>45</v>
      </c>
      <c r="N79" s="54"/>
      <c r="O79" s="54"/>
      <c r="P79" s="57"/>
    </row>
    <row r="80" spans="2:16" ht="30" customHeight="1">
      <c r="B80" s="58">
        <v>69</v>
      </c>
      <c r="C80" s="126" t="s">
        <v>815</v>
      </c>
      <c r="D80" s="121"/>
      <c r="E80" s="121"/>
      <c r="F80" s="121"/>
      <c r="G80" s="121"/>
      <c r="H80" s="121"/>
      <c r="I80" s="121"/>
      <c r="J80" s="121"/>
      <c r="K80" s="122"/>
      <c r="L80" s="59"/>
      <c r="M80" s="53" t="s">
        <v>45</v>
      </c>
      <c r="N80" s="54"/>
      <c r="O80" s="54"/>
      <c r="P80" s="57"/>
    </row>
    <row r="81" spans="2:16" ht="30" customHeight="1">
      <c r="B81" s="37">
        <v>70</v>
      </c>
      <c r="C81" s="126" t="s">
        <v>816</v>
      </c>
      <c r="D81" s="121"/>
      <c r="E81" s="121"/>
      <c r="F81" s="121"/>
      <c r="G81" s="121"/>
      <c r="H81" s="121"/>
      <c r="I81" s="121"/>
      <c r="J81" s="121"/>
      <c r="K81" s="122"/>
      <c r="L81" s="59"/>
      <c r="M81" s="53" t="s">
        <v>45</v>
      </c>
      <c r="N81" s="54"/>
      <c r="O81" s="54"/>
      <c r="P81" s="57"/>
    </row>
    <row r="82" spans="2:16" ht="30" customHeight="1">
      <c r="B82" s="58">
        <v>71</v>
      </c>
      <c r="C82" s="126" t="s">
        <v>800</v>
      </c>
      <c r="D82" s="121"/>
      <c r="E82" s="121"/>
      <c r="F82" s="121"/>
      <c r="G82" s="121"/>
      <c r="H82" s="121"/>
      <c r="I82" s="121"/>
      <c r="J82" s="121"/>
      <c r="K82" s="122"/>
      <c r="L82" s="59"/>
      <c r="M82" s="53" t="s">
        <v>45</v>
      </c>
      <c r="N82" s="54"/>
      <c r="O82" s="54"/>
      <c r="P82" s="57"/>
    </row>
    <row r="83" spans="2:16" ht="30" customHeight="1">
      <c r="B83" s="58">
        <v>72</v>
      </c>
      <c r="C83" s="126" t="s">
        <v>791</v>
      </c>
      <c r="D83" s="121"/>
      <c r="E83" s="121"/>
      <c r="F83" s="121"/>
      <c r="G83" s="121"/>
      <c r="H83" s="121"/>
      <c r="I83" s="121"/>
      <c r="J83" s="121"/>
      <c r="K83" s="122"/>
      <c r="L83" s="59"/>
      <c r="M83" s="53" t="s">
        <v>45</v>
      </c>
      <c r="N83" s="54"/>
      <c r="O83" s="54"/>
      <c r="P83" s="57"/>
    </row>
    <row r="84" spans="2:16" ht="30" customHeight="1">
      <c r="B84" s="37">
        <v>73</v>
      </c>
      <c r="C84" s="126" t="s">
        <v>792</v>
      </c>
      <c r="D84" s="121"/>
      <c r="E84" s="121"/>
      <c r="F84" s="121"/>
      <c r="G84" s="121"/>
      <c r="H84" s="121"/>
      <c r="I84" s="121"/>
      <c r="J84" s="121"/>
      <c r="K84" s="122"/>
      <c r="L84" s="59"/>
      <c r="M84" s="53" t="s">
        <v>45</v>
      </c>
      <c r="N84" s="54"/>
      <c r="O84" s="54"/>
      <c r="P84" s="57"/>
    </row>
    <row r="85" spans="2:16" ht="30" customHeight="1">
      <c r="B85" s="58">
        <v>74</v>
      </c>
      <c r="C85" s="126" t="s">
        <v>793</v>
      </c>
      <c r="D85" s="121"/>
      <c r="E85" s="121"/>
      <c r="F85" s="121"/>
      <c r="G85" s="121"/>
      <c r="H85" s="121"/>
      <c r="I85" s="121"/>
      <c r="J85" s="121"/>
      <c r="K85" s="122"/>
      <c r="L85" s="59"/>
      <c r="M85" s="62" t="s">
        <v>45</v>
      </c>
      <c r="N85" s="74"/>
      <c r="O85" s="54"/>
      <c r="P85" s="57"/>
    </row>
    <row r="86" spans="2:16" ht="30" customHeight="1">
      <c r="B86" s="58">
        <v>75</v>
      </c>
      <c r="C86" s="126" t="s">
        <v>794</v>
      </c>
      <c r="D86" s="121"/>
      <c r="E86" s="121"/>
      <c r="F86" s="121"/>
      <c r="G86" s="121"/>
      <c r="H86" s="121"/>
      <c r="I86" s="121"/>
      <c r="J86" s="121"/>
      <c r="K86" s="122"/>
      <c r="L86" s="59"/>
      <c r="M86" s="53" t="s">
        <v>45</v>
      </c>
      <c r="N86" s="54"/>
      <c r="O86" s="54"/>
      <c r="P86" s="57"/>
    </row>
    <row r="87" spans="2:16" ht="30" customHeight="1">
      <c r="B87" s="37">
        <v>76</v>
      </c>
      <c r="C87" s="126" t="s">
        <v>795</v>
      </c>
      <c r="D87" s="121"/>
      <c r="E87" s="121"/>
      <c r="F87" s="121"/>
      <c r="G87" s="121"/>
      <c r="H87" s="121"/>
      <c r="I87" s="121"/>
      <c r="J87" s="121"/>
      <c r="K87" s="122"/>
      <c r="L87" s="59"/>
      <c r="M87" s="53" t="s">
        <v>45</v>
      </c>
      <c r="N87" s="54"/>
      <c r="O87" s="54"/>
      <c r="P87" s="57"/>
    </row>
    <row r="88" spans="2:16" ht="30" customHeight="1">
      <c r="B88" s="58">
        <v>77</v>
      </c>
      <c r="C88" s="126" t="s">
        <v>796</v>
      </c>
      <c r="D88" s="121"/>
      <c r="E88" s="121"/>
      <c r="F88" s="121"/>
      <c r="G88" s="121"/>
      <c r="H88" s="121"/>
      <c r="I88" s="121"/>
      <c r="J88" s="121"/>
      <c r="K88" s="122"/>
      <c r="L88" s="59"/>
      <c r="M88" s="53" t="s">
        <v>45</v>
      </c>
      <c r="N88" s="54"/>
      <c r="O88" s="54"/>
      <c r="P88" s="57"/>
    </row>
    <row r="89" spans="2:16" ht="30" customHeight="1">
      <c r="B89" s="58">
        <v>78</v>
      </c>
      <c r="C89" s="126" t="s">
        <v>797</v>
      </c>
      <c r="D89" s="121"/>
      <c r="E89" s="121"/>
      <c r="F89" s="121"/>
      <c r="G89" s="121"/>
      <c r="H89" s="121"/>
      <c r="I89" s="121"/>
      <c r="J89" s="121"/>
      <c r="K89" s="122"/>
      <c r="L89" s="59"/>
      <c r="M89" s="53" t="s">
        <v>45</v>
      </c>
      <c r="N89" s="54"/>
      <c r="O89" s="54"/>
      <c r="P89" s="57"/>
    </row>
    <row r="90" spans="2:16" ht="30" customHeight="1">
      <c r="B90" s="58"/>
      <c r="C90" s="120"/>
      <c r="D90" s="121"/>
      <c r="E90" s="121"/>
      <c r="F90" s="121"/>
      <c r="G90" s="121"/>
      <c r="H90" s="121"/>
      <c r="I90" s="121"/>
      <c r="J90" s="121"/>
      <c r="K90" s="122"/>
      <c r="L90" s="59"/>
      <c r="M90" s="53"/>
      <c r="N90" s="54"/>
      <c r="O90" s="54"/>
      <c r="P90" s="57"/>
    </row>
    <row r="91" spans="2:16" ht="30" customHeight="1">
      <c r="B91" s="37"/>
      <c r="C91" s="120"/>
      <c r="D91" s="121"/>
      <c r="E91" s="121"/>
      <c r="F91" s="121"/>
      <c r="G91" s="121"/>
      <c r="H91" s="121"/>
      <c r="I91" s="121"/>
      <c r="J91" s="121"/>
      <c r="K91" s="122"/>
      <c r="L91" s="59"/>
      <c r="M91" s="53"/>
      <c r="N91" s="54"/>
      <c r="O91" s="54"/>
      <c r="P91" s="57"/>
    </row>
    <row r="92" spans="2:16" ht="14.25" customHeight="1"/>
    <row r="93" spans="2:16" ht="14.25" customHeight="1"/>
    <row r="94" spans="2:16" ht="14.25" customHeight="1"/>
    <row r="95" spans="2:16" ht="14.25" customHeight="1"/>
    <row r="96" spans="2:1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sheetData>
  <mergeCells count="88">
    <mergeCell ref="C79:K79"/>
    <mergeCell ref="C80:K80"/>
    <mergeCell ref="C81:K81"/>
    <mergeCell ref="C74:K74"/>
    <mergeCell ref="C75:K75"/>
    <mergeCell ref="C76:K76"/>
    <mergeCell ref="C77:K77"/>
    <mergeCell ref="C78:K78"/>
    <mergeCell ref="C73:K73"/>
    <mergeCell ref="M8:O8"/>
    <mergeCell ref="P8:P9"/>
    <mergeCell ref="C9:J9"/>
    <mergeCell ref="C11:E11"/>
    <mergeCell ref="C12:K12"/>
    <mergeCell ref="C29:K29"/>
    <mergeCell ref="C30:K30"/>
    <mergeCell ref="C31:K31"/>
    <mergeCell ref="C32:K32"/>
    <mergeCell ref="C24:K24"/>
    <mergeCell ref="C25:K25"/>
    <mergeCell ref="C26:K26"/>
    <mergeCell ref="C27:K27"/>
    <mergeCell ref="C28:K28"/>
    <mergeCell ref="C39:K39"/>
    <mergeCell ref="C18:K18"/>
    <mergeCell ref="C19:K19"/>
    <mergeCell ref="C20:K20"/>
    <mergeCell ref="C21:K21"/>
    <mergeCell ref="C2:G2"/>
    <mergeCell ref="C3:G3"/>
    <mergeCell ref="C4:G4"/>
    <mergeCell ref="B5:C5"/>
    <mergeCell ref="C13:K13"/>
    <mergeCell ref="C14:K14"/>
    <mergeCell ref="C15:K15"/>
    <mergeCell ref="C16:K16"/>
    <mergeCell ref="C17:K17"/>
    <mergeCell ref="C22:K22"/>
    <mergeCell ref="C23:K23"/>
    <mergeCell ref="C43:K43"/>
    <mergeCell ref="C34:K34"/>
    <mergeCell ref="C35:K35"/>
    <mergeCell ref="C36:K36"/>
    <mergeCell ref="C37:K37"/>
    <mergeCell ref="C38:K38"/>
    <mergeCell ref="C40:K40"/>
    <mergeCell ref="C41:K41"/>
    <mergeCell ref="C42:K42"/>
    <mergeCell ref="C33:K33"/>
    <mergeCell ref="C68:K68"/>
    <mergeCell ref="C69:K69"/>
    <mergeCell ref="C70:K70"/>
    <mergeCell ref="C71:K71"/>
    <mergeCell ref="C49:K49"/>
    <mergeCell ref="C50:K50"/>
    <mergeCell ref="C51:K51"/>
    <mergeCell ref="C52:K52"/>
    <mergeCell ref="C58:K58"/>
    <mergeCell ref="C63:K63"/>
    <mergeCell ref="C64:K64"/>
    <mergeCell ref="C65:K65"/>
    <mergeCell ref="C66:K66"/>
    <mergeCell ref="C72:K72"/>
    <mergeCell ref="C53:K53"/>
    <mergeCell ref="C44:K44"/>
    <mergeCell ref="C45:K45"/>
    <mergeCell ref="C46:K46"/>
    <mergeCell ref="C47:K47"/>
    <mergeCell ref="C48:K48"/>
    <mergeCell ref="C59:K59"/>
    <mergeCell ref="C60:K60"/>
    <mergeCell ref="C61:K61"/>
    <mergeCell ref="C62:K62"/>
    <mergeCell ref="C54:K54"/>
    <mergeCell ref="C55:K55"/>
    <mergeCell ref="C56:K56"/>
    <mergeCell ref="C57:K57"/>
    <mergeCell ref="C67:K67"/>
    <mergeCell ref="C87:K87"/>
    <mergeCell ref="C88:K88"/>
    <mergeCell ref="C89:K89"/>
    <mergeCell ref="C90:K90"/>
    <mergeCell ref="C91:K91"/>
    <mergeCell ref="C82:K82"/>
    <mergeCell ref="C83:K83"/>
    <mergeCell ref="C84:K84"/>
    <mergeCell ref="C85:K85"/>
    <mergeCell ref="C86:K86"/>
  </mergeCells>
  <hyperlinks>
    <hyperlink ref="V2" location="'REQ. NO FUN. GEN'!A1" display="Volver" xr:uid="{00000000-0004-0000-1500-000000000000}"/>
  </hyperlink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V1001"/>
  <sheetViews>
    <sheetView workbookViewId="0">
      <selection activeCell="N29" sqref="N29"/>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52"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84" t="s">
        <v>382</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c r="D12" s="121"/>
      <c r="E12" s="121"/>
      <c r="F12" s="121"/>
      <c r="G12" s="121"/>
      <c r="H12" s="121"/>
      <c r="I12" s="121"/>
      <c r="J12" s="121"/>
      <c r="K12" s="122"/>
      <c r="L12" s="38"/>
      <c r="M12" s="53"/>
      <c r="N12" s="54"/>
      <c r="O12" s="54"/>
      <c r="P12" s="55"/>
    </row>
    <row r="13" spans="2:22" ht="30" customHeight="1">
      <c r="B13" s="31">
        <v>2</v>
      </c>
      <c r="C13" s="120"/>
      <c r="D13" s="121"/>
      <c r="E13" s="121"/>
      <c r="F13" s="121"/>
      <c r="G13" s="121"/>
      <c r="H13" s="121"/>
      <c r="I13" s="121"/>
      <c r="J13" s="121"/>
      <c r="K13" s="122"/>
      <c r="L13" s="40"/>
      <c r="M13" s="53"/>
      <c r="N13" s="54"/>
      <c r="O13" s="54"/>
      <c r="P13" s="55"/>
    </row>
    <row r="14" spans="2:22" ht="30" customHeight="1">
      <c r="B14" s="37">
        <v>3</v>
      </c>
      <c r="C14" s="120"/>
      <c r="D14" s="121"/>
      <c r="E14" s="121"/>
      <c r="F14" s="121"/>
      <c r="G14" s="121"/>
      <c r="H14" s="121"/>
      <c r="I14" s="121"/>
      <c r="J14" s="121"/>
      <c r="K14" s="122"/>
      <c r="M14" s="53"/>
      <c r="N14" s="54"/>
      <c r="O14" s="54"/>
      <c r="P14" s="55"/>
    </row>
    <row r="15" spans="2:22" ht="30" customHeight="1">
      <c r="B15" s="37">
        <v>4</v>
      </c>
      <c r="C15" s="120"/>
      <c r="D15" s="121"/>
      <c r="E15" s="121"/>
      <c r="F15" s="121"/>
      <c r="G15" s="121"/>
      <c r="H15" s="121"/>
      <c r="I15" s="121"/>
      <c r="J15" s="121"/>
      <c r="K15" s="122"/>
      <c r="M15" s="53"/>
      <c r="N15" s="54"/>
      <c r="O15" s="54"/>
      <c r="P15" s="55"/>
    </row>
    <row r="16" spans="2:22" ht="30" customHeight="1">
      <c r="B16" s="37">
        <v>5</v>
      </c>
      <c r="C16" s="120"/>
      <c r="D16" s="121"/>
      <c r="E16" s="121"/>
      <c r="F16" s="121"/>
      <c r="G16" s="121"/>
      <c r="H16" s="121"/>
      <c r="I16" s="121"/>
      <c r="J16" s="121"/>
      <c r="K16" s="122"/>
      <c r="L16" s="38"/>
      <c r="M16" s="53"/>
      <c r="N16" s="54"/>
      <c r="O16" s="54"/>
      <c r="P16" s="55"/>
    </row>
    <row r="17" spans="2:18" ht="30" customHeight="1">
      <c r="B17" s="31">
        <v>6</v>
      </c>
      <c r="C17" s="120"/>
      <c r="D17" s="121"/>
      <c r="E17" s="121"/>
      <c r="F17" s="121"/>
      <c r="G17" s="121"/>
      <c r="H17" s="121"/>
      <c r="I17" s="121"/>
      <c r="J17" s="121"/>
      <c r="K17" s="122"/>
      <c r="L17" s="40"/>
      <c r="M17" s="53"/>
      <c r="N17" s="54"/>
      <c r="O17" s="54"/>
      <c r="P17" s="55"/>
    </row>
    <row r="18" spans="2:18" ht="14.25" customHeight="1"/>
    <row r="19" spans="2:18" ht="14.25" customHeight="1"/>
    <row r="20" spans="2:18" ht="14.25" customHeight="1"/>
    <row r="21" spans="2:18" ht="14.25" customHeight="1">
      <c r="B21" s="31"/>
      <c r="C21" s="129" t="s">
        <v>383</v>
      </c>
      <c r="D21" s="130"/>
      <c r="E21" s="130"/>
      <c r="F21" s="130"/>
      <c r="G21" s="130"/>
      <c r="H21" s="130"/>
      <c r="I21" s="130"/>
      <c r="J21" s="131"/>
      <c r="K21" s="32"/>
    </row>
    <row r="22" spans="2:18" ht="14.25" customHeight="1"/>
    <row r="23" spans="2:18" ht="14.25" customHeight="1">
      <c r="B23" s="36"/>
      <c r="C23" s="132"/>
      <c r="D23" s="133"/>
      <c r="E23" s="134"/>
      <c r="F23" s="32"/>
      <c r="G23" s="32"/>
      <c r="H23" s="32"/>
      <c r="I23" s="32"/>
      <c r="J23" s="32"/>
      <c r="K23" s="32"/>
    </row>
    <row r="24" spans="2:18" ht="30" customHeight="1">
      <c r="B24" s="37">
        <v>1</v>
      </c>
      <c r="C24" s="120" t="s">
        <v>384</v>
      </c>
      <c r="D24" s="121"/>
      <c r="E24" s="121"/>
      <c r="F24" s="121"/>
      <c r="G24" s="121"/>
      <c r="H24" s="121"/>
      <c r="I24" s="121"/>
      <c r="J24" s="121"/>
      <c r="K24" s="122"/>
      <c r="L24" s="38"/>
      <c r="M24" s="53" t="s">
        <v>45</v>
      </c>
      <c r="N24" s="54"/>
      <c r="O24" s="54"/>
      <c r="P24" s="55"/>
    </row>
    <row r="25" spans="2:18" ht="30" customHeight="1">
      <c r="B25" s="31">
        <v>2</v>
      </c>
      <c r="C25" s="120" t="s">
        <v>385</v>
      </c>
      <c r="D25" s="121"/>
      <c r="E25" s="121"/>
      <c r="F25" s="121"/>
      <c r="G25" s="121"/>
      <c r="H25" s="121"/>
      <c r="I25" s="121"/>
      <c r="J25" s="121"/>
      <c r="K25" s="122"/>
      <c r="L25" s="40"/>
      <c r="M25" s="53" t="s">
        <v>45</v>
      </c>
      <c r="N25" s="54"/>
      <c r="O25" s="54"/>
      <c r="P25" s="55"/>
    </row>
    <row r="26" spans="2:18" ht="30" customHeight="1">
      <c r="B26" s="37">
        <v>3</v>
      </c>
      <c r="C26" s="120" t="s">
        <v>386</v>
      </c>
      <c r="D26" s="121"/>
      <c r="E26" s="121"/>
      <c r="F26" s="121"/>
      <c r="G26" s="121"/>
      <c r="H26" s="121"/>
      <c r="I26" s="121"/>
      <c r="J26" s="121"/>
      <c r="K26" s="122"/>
      <c r="M26" s="53" t="s">
        <v>45</v>
      </c>
      <c r="N26" s="54"/>
      <c r="O26" s="54"/>
      <c r="P26" s="55"/>
    </row>
    <row r="27" spans="2:18" ht="30" customHeight="1">
      <c r="B27" s="37">
        <v>4</v>
      </c>
      <c r="C27" s="120" t="s">
        <v>387</v>
      </c>
      <c r="D27" s="121"/>
      <c r="E27" s="121"/>
      <c r="F27" s="121"/>
      <c r="G27" s="121"/>
      <c r="H27" s="121"/>
      <c r="I27" s="121"/>
      <c r="J27" s="121"/>
      <c r="K27" s="122"/>
      <c r="M27" s="53" t="s">
        <v>45</v>
      </c>
      <c r="N27" s="54"/>
      <c r="O27" s="54"/>
      <c r="P27" s="55"/>
    </row>
    <row r="28" spans="2:18" ht="30" customHeight="1">
      <c r="B28" s="37">
        <v>5</v>
      </c>
      <c r="C28" s="120" t="s">
        <v>388</v>
      </c>
      <c r="D28" s="121"/>
      <c r="E28" s="121"/>
      <c r="F28" s="121"/>
      <c r="G28" s="121"/>
      <c r="H28" s="121"/>
      <c r="I28" s="121"/>
      <c r="J28" s="121"/>
      <c r="K28" s="122"/>
      <c r="L28" s="38"/>
      <c r="M28" s="53" t="s">
        <v>45</v>
      </c>
      <c r="N28" s="54"/>
      <c r="O28" s="54"/>
      <c r="P28" s="55"/>
    </row>
    <row r="29" spans="2:18" ht="30" customHeight="1">
      <c r="B29" s="37">
        <v>6</v>
      </c>
      <c r="C29" s="120" t="s">
        <v>389</v>
      </c>
      <c r="D29" s="121"/>
      <c r="E29" s="121"/>
      <c r="F29" s="121"/>
      <c r="G29" s="121"/>
      <c r="H29" s="121"/>
      <c r="I29" s="121"/>
      <c r="J29" s="121"/>
      <c r="K29" s="122"/>
      <c r="L29" s="42"/>
      <c r="M29" s="53" t="s">
        <v>45</v>
      </c>
      <c r="N29" s="54"/>
      <c r="O29" s="54"/>
      <c r="P29" s="55"/>
    </row>
    <row r="30" spans="2:18" ht="30" customHeight="1">
      <c r="B30" s="31">
        <v>7</v>
      </c>
      <c r="C30" s="120" t="s">
        <v>390</v>
      </c>
      <c r="D30" s="121"/>
      <c r="E30" s="121"/>
      <c r="F30" s="121"/>
      <c r="G30" s="121"/>
      <c r="H30" s="121"/>
      <c r="I30" s="121"/>
      <c r="J30" s="121"/>
      <c r="K30" s="122"/>
      <c r="L30" s="42"/>
      <c r="M30" s="53" t="s">
        <v>45</v>
      </c>
      <c r="N30" s="54"/>
      <c r="O30" s="54"/>
      <c r="P30" s="55"/>
    </row>
    <row r="31" spans="2:18" ht="30" customHeight="1">
      <c r="B31" s="37">
        <v>8</v>
      </c>
      <c r="C31" s="120" t="s">
        <v>391</v>
      </c>
      <c r="D31" s="121"/>
      <c r="E31" s="121"/>
      <c r="F31" s="121"/>
      <c r="G31" s="121"/>
      <c r="H31" s="121"/>
      <c r="I31" s="121"/>
      <c r="J31" s="121"/>
      <c r="K31" s="122"/>
      <c r="L31" s="42"/>
      <c r="M31" s="53" t="s">
        <v>45</v>
      </c>
      <c r="N31" s="54"/>
      <c r="O31" s="54"/>
      <c r="P31" s="55"/>
    </row>
    <row r="32" spans="2:18" ht="30" customHeight="1">
      <c r="B32" s="37">
        <v>9</v>
      </c>
      <c r="C32" s="120" t="s">
        <v>392</v>
      </c>
      <c r="D32" s="121"/>
      <c r="E32" s="121"/>
      <c r="F32" s="121"/>
      <c r="G32" s="121"/>
      <c r="H32" s="121"/>
      <c r="I32" s="121"/>
      <c r="J32" s="121"/>
      <c r="K32" s="122"/>
      <c r="L32" s="42"/>
      <c r="M32" s="53"/>
      <c r="N32" s="54" t="s">
        <v>45</v>
      </c>
      <c r="O32" s="54"/>
      <c r="P32" s="55"/>
      <c r="R32" s="43" t="s">
        <v>299</v>
      </c>
    </row>
    <row r="33" spans="2:18" ht="30" customHeight="1">
      <c r="B33" s="37">
        <v>10</v>
      </c>
      <c r="C33" s="120" t="s">
        <v>393</v>
      </c>
      <c r="D33" s="121"/>
      <c r="E33" s="121"/>
      <c r="F33" s="121"/>
      <c r="G33" s="121"/>
      <c r="H33" s="121"/>
      <c r="I33" s="121"/>
      <c r="J33" s="121"/>
      <c r="K33" s="122"/>
      <c r="L33" s="42"/>
      <c r="M33" s="53" t="s">
        <v>45</v>
      </c>
      <c r="N33" s="54"/>
      <c r="O33" s="54"/>
      <c r="P33" s="55"/>
      <c r="R33" s="43" t="s">
        <v>670</v>
      </c>
    </row>
    <row r="34" spans="2:18" ht="30" customHeight="1">
      <c r="B34" s="37">
        <v>11</v>
      </c>
      <c r="C34" s="120"/>
      <c r="D34" s="121"/>
      <c r="E34" s="121"/>
      <c r="F34" s="121"/>
      <c r="G34" s="121"/>
      <c r="H34" s="121"/>
      <c r="I34" s="121"/>
      <c r="J34" s="121"/>
      <c r="K34" s="122"/>
      <c r="L34" s="42"/>
      <c r="M34" s="53"/>
      <c r="N34" s="54"/>
      <c r="O34" s="54"/>
      <c r="P34" s="55"/>
    </row>
    <row r="35" spans="2:18" ht="30" customHeight="1">
      <c r="B35" s="31">
        <v>12</v>
      </c>
      <c r="C35" s="120"/>
      <c r="D35" s="121"/>
      <c r="E35" s="121"/>
      <c r="F35" s="121"/>
      <c r="G35" s="121"/>
      <c r="H35" s="121"/>
      <c r="I35" s="121"/>
      <c r="J35" s="121"/>
      <c r="K35" s="122"/>
      <c r="L35" s="42"/>
      <c r="M35" s="53"/>
      <c r="N35" s="54"/>
      <c r="O35" s="54"/>
      <c r="P35" s="55"/>
    </row>
    <row r="36" spans="2:18" ht="30" customHeight="1">
      <c r="B36" s="37">
        <v>13</v>
      </c>
      <c r="C36" s="120"/>
      <c r="D36" s="121"/>
      <c r="E36" s="121"/>
      <c r="F36" s="121"/>
      <c r="G36" s="121"/>
      <c r="H36" s="121"/>
      <c r="I36" s="121"/>
      <c r="J36" s="121"/>
      <c r="K36" s="122"/>
      <c r="L36" s="40"/>
      <c r="M36" s="53"/>
      <c r="N36" s="54"/>
      <c r="O36" s="54"/>
      <c r="P36" s="55"/>
    </row>
    <row r="37" spans="2:18" ht="14.25" customHeight="1"/>
    <row r="38" spans="2:18" ht="14.25" customHeight="1"/>
    <row r="39" spans="2:18" ht="14.25" customHeight="1"/>
    <row r="40" spans="2:18" ht="14.25" customHeight="1"/>
    <row r="41" spans="2:18" ht="14.25" customHeight="1"/>
    <row r="42" spans="2:18" ht="14.25" customHeight="1"/>
    <row r="43" spans="2:18" ht="14.25" customHeight="1"/>
    <row r="44" spans="2:18" ht="14.25" customHeight="1"/>
    <row r="45" spans="2:18" ht="14.25" customHeight="1"/>
    <row r="46" spans="2:18" ht="14.25" customHeight="1"/>
    <row r="47" spans="2:18" ht="14.25" customHeight="1"/>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9:K29"/>
    <mergeCell ref="C35:K35"/>
    <mergeCell ref="C36:K36"/>
    <mergeCell ref="C21:J21"/>
    <mergeCell ref="C23:E23"/>
    <mergeCell ref="C24:K24"/>
    <mergeCell ref="C25:K25"/>
    <mergeCell ref="C26:K26"/>
    <mergeCell ref="C27:K27"/>
    <mergeCell ref="C28:K28"/>
    <mergeCell ref="C30:K30"/>
    <mergeCell ref="C31:K31"/>
    <mergeCell ref="C32:K32"/>
    <mergeCell ref="C33:K33"/>
    <mergeCell ref="C34:K34"/>
  </mergeCells>
  <hyperlinks>
    <hyperlink ref="V2" location="'REQ. FUN. GEN'!A1" display="Volver" xr:uid="{00000000-0004-0000-1800-000000000000}"/>
  </hyperlink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V992"/>
  <sheetViews>
    <sheetView workbookViewId="0">
      <selection activeCell="F31" sqref="F31"/>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84" t="s">
        <v>394</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c r="D12" s="121"/>
      <c r="E12" s="121"/>
      <c r="F12" s="121"/>
      <c r="G12" s="121"/>
      <c r="H12" s="121"/>
      <c r="I12" s="121"/>
      <c r="J12" s="121"/>
      <c r="K12" s="122"/>
      <c r="L12" s="38"/>
      <c r="M12" s="53"/>
      <c r="N12" s="54"/>
      <c r="O12" s="54"/>
      <c r="P12" s="55"/>
    </row>
    <row r="13" spans="2:22" ht="30" customHeight="1">
      <c r="B13" s="31">
        <v>2</v>
      </c>
      <c r="C13" s="120"/>
      <c r="D13" s="121"/>
      <c r="E13" s="121"/>
      <c r="F13" s="121"/>
      <c r="G13" s="121"/>
      <c r="H13" s="121"/>
      <c r="I13" s="121"/>
      <c r="J13" s="121"/>
      <c r="K13" s="122"/>
      <c r="L13" s="40"/>
      <c r="M13" s="53"/>
      <c r="N13" s="54"/>
      <c r="O13" s="54"/>
      <c r="P13" s="55"/>
    </row>
    <row r="14" spans="2:22" ht="30" customHeight="1">
      <c r="B14" s="37">
        <v>3</v>
      </c>
      <c r="C14" s="120"/>
      <c r="D14" s="121"/>
      <c r="E14" s="121"/>
      <c r="F14" s="121"/>
      <c r="G14" s="121"/>
      <c r="H14" s="121"/>
      <c r="I14" s="121"/>
      <c r="J14" s="121"/>
      <c r="K14" s="122"/>
      <c r="M14" s="53"/>
      <c r="N14" s="54"/>
      <c r="O14" s="54"/>
      <c r="P14" s="55"/>
    </row>
    <row r="15" spans="2:22" ht="30" customHeight="1">
      <c r="B15" s="37">
        <v>4</v>
      </c>
      <c r="C15" s="120"/>
      <c r="D15" s="121"/>
      <c r="E15" s="121"/>
      <c r="F15" s="121"/>
      <c r="G15" s="121"/>
      <c r="H15" s="121"/>
      <c r="I15" s="121"/>
      <c r="J15" s="121"/>
      <c r="K15" s="122"/>
      <c r="M15" s="53"/>
      <c r="N15" s="54"/>
      <c r="O15" s="54"/>
      <c r="P15" s="55"/>
    </row>
    <row r="16" spans="2:22" ht="30" customHeight="1">
      <c r="B16" s="37">
        <v>5</v>
      </c>
      <c r="C16" s="120"/>
      <c r="D16" s="121"/>
      <c r="E16" s="121"/>
      <c r="F16" s="121"/>
      <c r="G16" s="121"/>
      <c r="H16" s="121"/>
      <c r="I16" s="121"/>
      <c r="J16" s="121"/>
      <c r="K16" s="122"/>
      <c r="L16" s="38"/>
      <c r="M16" s="53"/>
      <c r="N16" s="54"/>
      <c r="O16" s="54"/>
      <c r="P16" s="55"/>
    </row>
    <row r="17" spans="2:18" ht="30" customHeight="1">
      <c r="B17" s="31">
        <v>6</v>
      </c>
      <c r="C17" s="120"/>
      <c r="D17" s="121"/>
      <c r="E17" s="121"/>
      <c r="F17" s="121"/>
      <c r="G17" s="121"/>
      <c r="H17" s="121"/>
      <c r="I17" s="121"/>
      <c r="J17" s="121"/>
      <c r="K17" s="122"/>
      <c r="L17" s="40"/>
      <c r="M17" s="53"/>
      <c r="N17" s="54"/>
      <c r="O17" s="54"/>
      <c r="P17" s="55"/>
    </row>
    <row r="18" spans="2:18" ht="14.25" customHeight="1"/>
    <row r="19" spans="2:18" ht="14.25" customHeight="1"/>
    <row r="20" spans="2:18" ht="14.25" customHeight="1">
      <c r="B20" s="31"/>
      <c r="C20" s="129" t="s">
        <v>395</v>
      </c>
      <c r="D20" s="130"/>
      <c r="E20" s="130"/>
      <c r="F20" s="130"/>
      <c r="G20" s="130"/>
      <c r="H20" s="130"/>
      <c r="I20" s="130"/>
      <c r="J20" s="131"/>
      <c r="K20" s="32"/>
    </row>
    <row r="21" spans="2:18" ht="14.25" customHeight="1"/>
    <row r="22" spans="2:18" ht="14.25" customHeight="1">
      <c r="B22" s="36"/>
      <c r="C22" s="132"/>
      <c r="D22" s="133"/>
      <c r="E22" s="134"/>
      <c r="F22" s="32"/>
      <c r="G22" s="32"/>
      <c r="H22" s="32"/>
      <c r="I22" s="32"/>
      <c r="J22" s="32"/>
      <c r="K22" s="32"/>
    </row>
    <row r="23" spans="2:18" ht="30" customHeight="1">
      <c r="B23" s="37">
        <v>1</v>
      </c>
      <c r="C23" s="120" t="s">
        <v>396</v>
      </c>
      <c r="D23" s="121"/>
      <c r="E23" s="121"/>
      <c r="F23" s="121"/>
      <c r="G23" s="121"/>
      <c r="H23" s="121"/>
      <c r="I23" s="121"/>
      <c r="J23" s="121"/>
      <c r="K23" s="122"/>
      <c r="L23" s="38"/>
      <c r="M23" s="53" t="s">
        <v>45</v>
      </c>
      <c r="N23" s="54"/>
      <c r="O23" s="54"/>
      <c r="P23" s="55"/>
      <c r="R23" s="43" t="s">
        <v>364</v>
      </c>
    </row>
    <row r="24" spans="2:18" ht="30" customHeight="1">
      <c r="B24" s="31">
        <v>2</v>
      </c>
      <c r="C24" s="120" t="s">
        <v>397</v>
      </c>
      <c r="D24" s="121"/>
      <c r="E24" s="121"/>
      <c r="F24" s="121"/>
      <c r="G24" s="121"/>
      <c r="H24" s="121"/>
      <c r="I24" s="121"/>
      <c r="J24" s="121"/>
      <c r="K24" s="122"/>
      <c r="L24" s="40"/>
      <c r="M24" s="62" t="s">
        <v>45</v>
      </c>
      <c r="N24" s="54"/>
      <c r="O24" s="54"/>
      <c r="P24" s="55"/>
      <c r="R24" s="43"/>
    </row>
    <row r="25" spans="2:18" ht="30" customHeight="1">
      <c r="B25" s="37">
        <v>3</v>
      </c>
      <c r="C25" s="126" t="s">
        <v>867</v>
      </c>
      <c r="D25" s="121"/>
      <c r="E25" s="121"/>
      <c r="F25" s="121"/>
      <c r="G25" s="121"/>
      <c r="H25" s="121"/>
      <c r="I25" s="121"/>
      <c r="J25" s="121"/>
      <c r="K25" s="122"/>
      <c r="M25" s="62" t="s">
        <v>45</v>
      </c>
      <c r="N25" s="54"/>
      <c r="O25" s="54"/>
      <c r="P25" s="55"/>
      <c r="R25" s="43"/>
    </row>
    <row r="26" spans="2:18" ht="30" customHeight="1">
      <c r="B26" s="37">
        <v>5</v>
      </c>
      <c r="C26" s="120" t="s">
        <v>398</v>
      </c>
      <c r="D26" s="121"/>
      <c r="E26" s="121"/>
      <c r="F26" s="121"/>
      <c r="G26" s="121"/>
      <c r="H26" s="121"/>
      <c r="I26" s="121"/>
      <c r="J26" s="121"/>
      <c r="K26" s="122"/>
      <c r="L26" s="38"/>
      <c r="M26" s="53" t="s">
        <v>45</v>
      </c>
      <c r="N26" s="54"/>
      <c r="O26" s="54"/>
      <c r="P26" s="55"/>
    </row>
    <row r="27" spans="2:18" ht="30" customHeight="1">
      <c r="B27" s="37">
        <v>6</v>
      </c>
      <c r="C27" s="120"/>
      <c r="D27" s="121"/>
      <c r="E27" s="121"/>
      <c r="F27" s="121"/>
      <c r="G27" s="121"/>
      <c r="H27" s="121"/>
      <c r="I27" s="121"/>
      <c r="J27" s="121"/>
      <c r="K27" s="122"/>
      <c r="L27" s="42"/>
      <c r="M27" s="53"/>
      <c r="N27" s="54"/>
      <c r="O27" s="54"/>
      <c r="P27" s="55"/>
    </row>
    <row r="28" spans="2:18" ht="14.25" customHeight="1"/>
    <row r="29" spans="2:18" ht="14.25" customHeight="1"/>
    <row r="30" spans="2:18" ht="14.25" customHeight="1"/>
    <row r="31" spans="2:18" ht="14.25" customHeight="1"/>
    <row r="32" spans="2: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sheetData>
  <mergeCells count="21">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7:K27"/>
    <mergeCell ref="C20:J20"/>
    <mergeCell ref="C22:E22"/>
    <mergeCell ref="C23:K23"/>
    <mergeCell ref="C24:K24"/>
    <mergeCell ref="C25:K25"/>
    <mergeCell ref="C26:K26"/>
  </mergeCells>
  <hyperlinks>
    <hyperlink ref="V2" location="'REQ. NO FUN. GEN'!A1" display="Volver" xr:uid="{00000000-0004-0000-1900-000000000000}"/>
  </hyperlinks>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V997"/>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32"/>
      <c r="D9" s="129" t="s">
        <v>365</v>
      </c>
      <c r="E9" s="130"/>
      <c r="F9" s="130"/>
      <c r="G9" s="130"/>
      <c r="H9" s="130"/>
      <c r="I9" s="131"/>
      <c r="J9" s="32"/>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c r="D12" s="121"/>
      <c r="E12" s="121"/>
      <c r="F12" s="121"/>
      <c r="G12" s="121"/>
      <c r="H12" s="121"/>
      <c r="I12" s="121"/>
      <c r="J12" s="121"/>
      <c r="K12" s="122"/>
      <c r="L12" s="38"/>
      <c r="M12" s="53"/>
      <c r="N12" s="54"/>
      <c r="O12" s="54"/>
      <c r="P12" s="55"/>
    </row>
    <row r="13" spans="2:22" ht="30" customHeight="1">
      <c r="B13" s="31">
        <v>2</v>
      </c>
      <c r="C13" s="120"/>
      <c r="D13" s="121"/>
      <c r="E13" s="121"/>
      <c r="F13" s="121"/>
      <c r="G13" s="121"/>
      <c r="H13" s="121"/>
      <c r="I13" s="121"/>
      <c r="J13" s="121"/>
      <c r="K13" s="122"/>
      <c r="L13" s="40"/>
      <c r="M13" s="53"/>
      <c r="N13" s="54"/>
      <c r="O13" s="54"/>
      <c r="P13" s="55"/>
    </row>
    <row r="14" spans="2:22" ht="30" customHeight="1">
      <c r="B14" s="37">
        <v>3</v>
      </c>
      <c r="C14" s="120"/>
      <c r="D14" s="121"/>
      <c r="E14" s="121"/>
      <c r="F14" s="121"/>
      <c r="G14" s="121"/>
      <c r="H14" s="121"/>
      <c r="I14" s="121"/>
      <c r="J14" s="121"/>
      <c r="K14" s="122"/>
      <c r="M14" s="53"/>
      <c r="N14" s="54"/>
      <c r="O14" s="54"/>
      <c r="P14" s="55"/>
    </row>
    <row r="15" spans="2:22" ht="30" customHeight="1">
      <c r="B15" s="37">
        <v>4</v>
      </c>
      <c r="C15" s="120"/>
      <c r="D15" s="121"/>
      <c r="E15" s="121"/>
      <c r="F15" s="121"/>
      <c r="G15" s="121"/>
      <c r="H15" s="121"/>
      <c r="I15" s="121"/>
      <c r="J15" s="121"/>
      <c r="K15" s="122"/>
      <c r="M15" s="53"/>
      <c r="N15" s="54"/>
      <c r="O15" s="54"/>
      <c r="P15" s="55"/>
    </row>
    <row r="16" spans="2:22" ht="30" customHeight="1">
      <c r="B16" s="37">
        <v>5</v>
      </c>
      <c r="C16" s="120"/>
      <c r="D16" s="121"/>
      <c r="E16" s="121"/>
      <c r="F16" s="121"/>
      <c r="G16" s="121"/>
      <c r="H16" s="121"/>
      <c r="I16" s="121"/>
      <c r="J16" s="121"/>
      <c r="K16" s="122"/>
      <c r="L16" s="38"/>
      <c r="M16" s="53"/>
      <c r="N16" s="54"/>
      <c r="O16" s="54"/>
      <c r="P16" s="55"/>
    </row>
    <row r="17" spans="2:18" ht="30" customHeight="1">
      <c r="B17" s="31">
        <v>6</v>
      </c>
      <c r="C17" s="120"/>
      <c r="D17" s="121"/>
      <c r="E17" s="121"/>
      <c r="F17" s="121"/>
      <c r="G17" s="121"/>
      <c r="H17" s="121"/>
      <c r="I17" s="121"/>
      <c r="J17" s="121"/>
      <c r="K17" s="122"/>
      <c r="L17" s="40"/>
      <c r="M17" s="53"/>
      <c r="N17" s="54"/>
      <c r="O17" s="54"/>
      <c r="P17" s="55"/>
    </row>
    <row r="18" spans="2:18" ht="14.25" customHeight="1"/>
    <row r="19" spans="2:18" ht="14.25" customHeight="1"/>
    <row r="20" spans="2:18" ht="14.25" customHeight="1"/>
    <row r="21" spans="2:18" ht="14.25" customHeight="1">
      <c r="B21" s="31"/>
      <c r="C21" s="129" t="s">
        <v>366</v>
      </c>
      <c r="D21" s="130"/>
      <c r="E21" s="130"/>
      <c r="F21" s="130"/>
      <c r="G21" s="130"/>
      <c r="H21" s="130"/>
      <c r="I21" s="130"/>
      <c r="J21" s="131"/>
      <c r="K21" s="32"/>
    </row>
    <row r="22" spans="2:18" ht="19.5" customHeight="1"/>
    <row r="23" spans="2:18" ht="16.5" customHeight="1">
      <c r="B23" s="36"/>
      <c r="C23" s="132"/>
      <c r="D23" s="133"/>
      <c r="E23" s="134"/>
      <c r="F23" s="32"/>
      <c r="G23" s="32"/>
      <c r="H23" s="32"/>
      <c r="I23" s="32"/>
      <c r="J23" s="32"/>
      <c r="K23" s="32"/>
    </row>
    <row r="24" spans="2:18" ht="30" customHeight="1">
      <c r="B24" s="37">
        <v>1</v>
      </c>
      <c r="C24" s="120" t="s">
        <v>367</v>
      </c>
      <c r="D24" s="121"/>
      <c r="E24" s="121"/>
      <c r="F24" s="121"/>
      <c r="G24" s="121"/>
      <c r="H24" s="121"/>
      <c r="I24" s="121"/>
      <c r="J24" s="121"/>
      <c r="K24" s="122"/>
      <c r="L24" s="38"/>
      <c r="M24" s="53" t="s">
        <v>45</v>
      </c>
      <c r="N24" s="54"/>
      <c r="O24" s="54"/>
      <c r="P24" s="55"/>
    </row>
    <row r="25" spans="2:18" ht="30" customHeight="1">
      <c r="B25" s="31">
        <v>2</v>
      </c>
      <c r="C25" s="120" t="s">
        <v>368</v>
      </c>
      <c r="D25" s="121"/>
      <c r="E25" s="121"/>
      <c r="F25" s="121"/>
      <c r="G25" s="121"/>
      <c r="H25" s="121"/>
      <c r="I25" s="121"/>
      <c r="J25" s="121"/>
      <c r="K25" s="122"/>
      <c r="L25" s="40"/>
      <c r="M25" s="53"/>
      <c r="N25" s="54" t="s">
        <v>45</v>
      </c>
      <c r="O25" s="54"/>
      <c r="P25" s="55"/>
      <c r="R25" s="43" t="s">
        <v>669</v>
      </c>
    </row>
    <row r="26" spans="2:18" ht="30" customHeight="1">
      <c r="B26" s="37">
        <v>3</v>
      </c>
      <c r="C26" s="120" t="s">
        <v>369</v>
      </c>
      <c r="D26" s="121"/>
      <c r="E26" s="121"/>
      <c r="F26" s="121"/>
      <c r="G26" s="121"/>
      <c r="H26" s="121"/>
      <c r="I26" s="121"/>
      <c r="J26" s="121"/>
      <c r="K26" s="122"/>
      <c r="M26" s="53" t="s">
        <v>45</v>
      </c>
      <c r="N26" s="54"/>
      <c r="O26" s="54"/>
      <c r="P26" s="55"/>
    </row>
    <row r="27" spans="2:18" ht="30" customHeight="1">
      <c r="B27" s="37">
        <v>4</v>
      </c>
      <c r="C27" s="120" t="s">
        <v>370</v>
      </c>
      <c r="D27" s="121"/>
      <c r="E27" s="121"/>
      <c r="F27" s="121"/>
      <c r="G27" s="121"/>
      <c r="H27" s="121"/>
      <c r="I27" s="121"/>
      <c r="J27" s="121"/>
      <c r="K27" s="122"/>
      <c r="M27" s="53" t="s">
        <v>45</v>
      </c>
      <c r="N27" s="54"/>
      <c r="O27" s="54"/>
      <c r="P27" s="55"/>
    </row>
    <row r="28" spans="2:18" ht="30" customHeight="1">
      <c r="B28" s="37">
        <v>6</v>
      </c>
      <c r="C28" s="120" t="s">
        <v>371</v>
      </c>
      <c r="D28" s="121"/>
      <c r="E28" s="121"/>
      <c r="F28" s="121"/>
      <c r="G28" s="121"/>
      <c r="H28" s="121"/>
      <c r="I28" s="121"/>
      <c r="J28" s="121"/>
      <c r="K28" s="122"/>
      <c r="L28" s="42"/>
      <c r="M28" s="53" t="s">
        <v>45</v>
      </c>
      <c r="N28" s="54"/>
      <c r="O28" s="54"/>
      <c r="P28" s="55"/>
      <c r="R28" s="43"/>
    </row>
    <row r="29" spans="2:18" ht="30" customHeight="1">
      <c r="B29" s="31">
        <v>7</v>
      </c>
      <c r="C29" s="120" t="s">
        <v>372</v>
      </c>
      <c r="D29" s="121"/>
      <c r="E29" s="121"/>
      <c r="F29" s="121"/>
      <c r="G29" s="121"/>
      <c r="H29" s="121"/>
      <c r="I29" s="121"/>
      <c r="J29" s="121"/>
      <c r="K29" s="122"/>
      <c r="L29" s="42"/>
      <c r="M29" s="53" t="s">
        <v>45</v>
      </c>
      <c r="N29" s="54"/>
      <c r="O29" s="54"/>
      <c r="P29" s="55"/>
    </row>
    <row r="30" spans="2:18" ht="30" customHeight="1">
      <c r="B30" s="37">
        <v>9</v>
      </c>
      <c r="C30" s="120" t="s">
        <v>373</v>
      </c>
      <c r="D30" s="121"/>
      <c r="E30" s="121"/>
      <c r="F30" s="121"/>
      <c r="G30" s="121"/>
      <c r="H30" s="121"/>
      <c r="I30" s="121"/>
      <c r="J30" s="121"/>
      <c r="K30" s="122"/>
      <c r="L30" s="42"/>
      <c r="M30" s="53" t="s">
        <v>45</v>
      </c>
      <c r="N30" s="54"/>
      <c r="O30" s="54"/>
      <c r="P30" s="55"/>
    </row>
    <row r="31" spans="2:18" ht="30" customHeight="1">
      <c r="B31" s="37">
        <v>10</v>
      </c>
      <c r="C31" s="120" t="s">
        <v>374</v>
      </c>
      <c r="D31" s="121"/>
      <c r="E31" s="121"/>
      <c r="F31" s="121"/>
      <c r="G31" s="121"/>
      <c r="H31" s="121"/>
      <c r="I31" s="121"/>
      <c r="J31" s="121"/>
      <c r="K31" s="122"/>
      <c r="L31" s="42"/>
      <c r="M31" s="53" t="s">
        <v>45</v>
      </c>
      <c r="N31" s="54"/>
      <c r="O31" s="54"/>
      <c r="P31" s="55"/>
      <c r="R31" s="43"/>
    </row>
    <row r="32" spans="2:18" ht="30" customHeight="1">
      <c r="B32" s="37">
        <v>11</v>
      </c>
      <c r="C32" s="120"/>
      <c r="D32" s="121"/>
      <c r="E32" s="121"/>
      <c r="F32" s="121"/>
      <c r="G32" s="121"/>
      <c r="H32" s="121"/>
      <c r="I32" s="121"/>
      <c r="J32" s="121"/>
      <c r="K32" s="122"/>
      <c r="L32" s="42"/>
      <c r="M32" s="53"/>
      <c r="N32" s="54"/>
      <c r="O32" s="54"/>
      <c r="P32" s="55"/>
    </row>
    <row r="33" spans="2:16" ht="30" customHeight="1">
      <c r="B33" s="31">
        <v>12</v>
      </c>
      <c r="C33" s="120"/>
      <c r="D33" s="121"/>
      <c r="E33" s="121"/>
      <c r="F33" s="121"/>
      <c r="G33" s="121"/>
      <c r="H33" s="121"/>
      <c r="I33" s="121"/>
      <c r="J33" s="121"/>
      <c r="K33" s="122"/>
      <c r="L33" s="42"/>
      <c r="M33" s="53"/>
      <c r="N33" s="54"/>
      <c r="O33" s="54"/>
      <c r="P33" s="55"/>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26">
    <mergeCell ref="C33:K33"/>
    <mergeCell ref="C21:J21"/>
    <mergeCell ref="C23:E23"/>
    <mergeCell ref="C2:G2"/>
    <mergeCell ref="C3:G3"/>
    <mergeCell ref="C4:G4"/>
    <mergeCell ref="B5:C5"/>
    <mergeCell ref="C13:K13"/>
    <mergeCell ref="C14:K14"/>
    <mergeCell ref="C15:K15"/>
    <mergeCell ref="C16:K16"/>
    <mergeCell ref="C17:K17"/>
    <mergeCell ref="C27:K27"/>
    <mergeCell ref="C31:K31"/>
    <mergeCell ref="C32:K32"/>
    <mergeCell ref="C24:K24"/>
    <mergeCell ref="M8:O8"/>
    <mergeCell ref="P8:P9"/>
    <mergeCell ref="D9:I9"/>
    <mergeCell ref="C11:E11"/>
    <mergeCell ref="C12:K12"/>
    <mergeCell ref="C25:K25"/>
    <mergeCell ref="C26:K26"/>
    <mergeCell ref="C28:K28"/>
    <mergeCell ref="C29:K29"/>
    <mergeCell ref="C30:K30"/>
  </mergeCells>
  <hyperlinks>
    <hyperlink ref="V2" location="'REQ. FUN. GEN'!A1" display="Volver" xr:uid="{00000000-0004-0000-1600-000000000000}"/>
  </hyperlink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V994"/>
  <sheetViews>
    <sheetView workbookViewId="0">
      <selection activeCell="R28" sqref="R28"/>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77"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29" t="s">
        <v>375</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c r="D12" s="121"/>
      <c r="E12" s="121"/>
      <c r="F12" s="121"/>
      <c r="G12" s="121"/>
      <c r="H12" s="121"/>
      <c r="I12" s="121"/>
      <c r="J12" s="121"/>
      <c r="K12" s="122"/>
      <c r="L12" s="38"/>
      <c r="M12" s="53"/>
      <c r="N12" s="54"/>
      <c r="O12" s="54"/>
      <c r="P12" s="55"/>
    </row>
    <row r="13" spans="2:22" ht="30" customHeight="1">
      <c r="B13" s="31">
        <v>2</v>
      </c>
      <c r="C13" s="120"/>
      <c r="D13" s="121"/>
      <c r="E13" s="121"/>
      <c r="F13" s="121"/>
      <c r="G13" s="121"/>
      <c r="H13" s="121"/>
      <c r="I13" s="121"/>
      <c r="J13" s="121"/>
      <c r="K13" s="122"/>
      <c r="L13" s="40"/>
      <c r="M13" s="53"/>
      <c r="N13" s="54"/>
      <c r="O13" s="54"/>
      <c r="P13" s="55"/>
    </row>
    <row r="14" spans="2:22" ht="30" customHeight="1">
      <c r="B14" s="37">
        <v>3</v>
      </c>
      <c r="C14" s="120"/>
      <c r="D14" s="121"/>
      <c r="E14" s="121"/>
      <c r="F14" s="121"/>
      <c r="G14" s="121"/>
      <c r="H14" s="121"/>
      <c r="I14" s="121"/>
      <c r="J14" s="121"/>
      <c r="K14" s="122"/>
      <c r="M14" s="53"/>
      <c r="N14" s="54"/>
      <c r="O14" s="54"/>
      <c r="P14" s="55"/>
    </row>
    <row r="15" spans="2:22" ht="30" customHeight="1">
      <c r="B15" s="37">
        <v>4</v>
      </c>
      <c r="C15" s="120"/>
      <c r="D15" s="121"/>
      <c r="E15" s="121"/>
      <c r="F15" s="121"/>
      <c r="G15" s="121"/>
      <c r="H15" s="121"/>
      <c r="I15" s="121"/>
      <c r="J15" s="121"/>
      <c r="K15" s="122"/>
      <c r="M15" s="53"/>
      <c r="N15" s="54"/>
      <c r="O15" s="54"/>
      <c r="P15" s="55"/>
    </row>
    <row r="16" spans="2:22" ht="30" customHeight="1">
      <c r="B16" s="37">
        <v>5</v>
      </c>
      <c r="C16" s="120"/>
      <c r="D16" s="121"/>
      <c r="E16" s="121"/>
      <c r="F16" s="121"/>
      <c r="G16" s="121"/>
      <c r="H16" s="121"/>
      <c r="I16" s="121"/>
      <c r="J16" s="121"/>
      <c r="K16" s="122"/>
      <c r="L16" s="38"/>
      <c r="M16" s="53"/>
      <c r="N16" s="54"/>
      <c r="O16" s="54"/>
      <c r="P16" s="55"/>
    </row>
    <row r="17" spans="2:18" ht="30" customHeight="1">
      <c r="B17" s="31">
        <v>6</v>
      </c>
      <c r="C17" s="120"/>
      <c r="D17" s="121"/>
      <c r="E17" s="121"/>
      <c r="F17" s="121"/>
      <c r="G17" s="121"/>
      <c r="H17" s="121"/>
      <c r="I17" s="121"/>
      <c r="J17" s="121"/>
      <c r="K17" s="122"/>
      <c r="L17" s="40"/>
      <c r="M17" s="53"/>
      <c r="N17" s="54"/>
      <c r="O17" s="54"/>
      <c r="P17" s="55"/>
    </row>
    <row r="18" spans="2:18" ht="14.25" customHeight="1"/>
    <row r="19" spans="2:18" ht="14.25" customHeight="1"/>
    <row r="20" spans="2:18" ht="14.25" customHeight="1"/>
    <row r="21" spans="2:18" ht="14.25" customHeight="1">
      <c r="B21" s="31"/>
      <c r="C21" s="129" t="s">
        <v>376</v>
      </c>
      <c r="D21" s="130"/>
      <c r="E21" s="130"/>
      <c r="F21" s="130"/>
      <c r="G21" s="130"/>
      <c r="H21" s="130"/>
      <c r="I21" s="130"/>
      <c r="J21" s="131"/>
      <c r="K21" s="32"/>
    </row>
    <row r="22" spans="2:18" ht="14.25" customHeight="1"/>
    <row r="23" spans="2:18" ht="14.25" customHeight="1">
      <c r="B23" s="36"/>
      <c r="C23" s="132"/>
      <c r="D23" s="133"/>
      <c r="E23" s="134"/>
      <c r="F23" s="32"/>
      <c r="G23" s="32"/>
      <c r="H23" s="32"/>
      <c r="I23" s="32"/>
      <c r="J23" s="32"/>
      <c r="K23" s="32"/>
    </row>
    <row r="24" spans="2:18" ht="30" customHeight="1">
      <c r="B24" s="37">
        <v>1</v>
      </c>
      <c r="C24" s="120" t="s">
        <v>377</v>
      </c>
      <c r="D24" s="121"/>
      <c r="E24" s="121"/>
      <c r="F24" s="121"/>
      <c r="G24" s="121"/>
      <c r="H24" s="121"/>
      <c r="I24" s="121"/>
      <c r="J24" s="121"/>
      <c r="K24" s="122"/>
      <c r="L24" s="38"/>
      <c r="M24" s="53"/>
      <c r="N24" s="54" t="s">
        <v>45</v>
      </c>
      <c r="O24" s="54"/>
      <c r="P24" s="55"/>
    </row>
    <row r="25" spans="2:18" ht="30" customHeight="1">
      <c r="B25" s="31">
        <v>2</v>
      </c>
      <c r="C25" s="120" t="s">
        <v>378</v>
      </c>
      <c r="D25" s="121"/>
      <c r="E25" s="121"/>
      <c r="F25" s="121"/>
      <c r="G25" s="121"/>
      <c r="H25" s="121"/>
      <c r="I25" s="121"/>
      <c r="J25" s="121"/>
      <c r="K25" s="122"/>
      <c r="L25" s="40"/>
      <c r="M25" s="53" t="s">
        <v>45</v>
      </c>
      <c r="N25" s="54"/>
      <c r="O25" s="54"/>
      <c r="P25" s="55"/>
    </row>
    <row r="26" spans="2:18" ht="30" customHeight="1">
      <c r="B26" s="37">
        <v>3</v>
      </c>
      <c r="C26" s="120" t="s">
        <v>379</v>
      </c>
      <c r="D26" s="121"/>
      <c r="E26" s="121"/>
      <c r="F26" s="121"/>
      <c r="G26" s="121"/>
      <c r="H26" s="121"/>
      <c r="I26" s="121"/>
      <c r="J26" s="121"/>
      <c r="K26" s="122"/>
      <c r="M26" s="53" t="s">
        <v>45</v>
      </c>
      <c r="N26" s="54"/>
      <c r="O26" s="54"/>
      <c r="P26" s="55"/>
      <c r="R26" s="43" t="s">
        <v>299</v>
      </c>
    </row>
    <row r="27" spans="2:18" ht="30" customHeight="1">
      <c r="B27" s="37">
        <v>4</v>
      </c>
      <c r="C27" s="120" t="s">
        <v>380</v>
      </c>
      <c r="D27" s="121"/>
      <c r="E27" s="121"/>
      <c r="F27" s="121"/>
      <c r="G27" s="121"/>
      <c r="H27" s="121"/>
      <c r="I27" s="121"/>
      <c r="J27" s="121"/>
      <c r="K27" s="122"/>
      <c r="M27" s="53"/>
      <c r="N27" s="54" t="s">
        <v>45</v>
      </c>
      <c r="O27" s="54"/>
      <c r="P27" s="55"/>
    </row>
    <row r="28" spans="2:18" ht="30" customHeight="1">
      <c r="B28" s="37">
        <v>5</v>
      </c>
      <c r="C28" s="120" t="s">
        <v>381</v>
      </c>
      <c r="D28" s="121"/>
      <c r="E28" s="121"/>
      <c r="F28" s="121"/>
      <c r="G28" s="121"/>
      <c r="H28" s="121"/>
      <c r="I28" s="121"/>
      <c r="J28" s="121"/>
      <c r="K28" s="122"/>
      <c r="L28" s="38"/>
      <c r="M28" s="53" t="s">
        <v>45</v>
      </c>
      <c r="N28" s="54"/>
      <c r="O28" s="54"/>
      <c r="P28" s="55"/>
    </row>
    <row r="29" spans="2:18" ht="30" customHeight="1">
      <c r="B29" s="37">
        <v>6</v>
      </c>
      <c r="C29" s="120"/>
      <c r="D29" s="121"/>
      <c r="E29" s="121"/>
      <c r="F29" s="121"/>
      <c r="G29" s="121"/>
      <c r="H29" s="121"/>
      <c r="I29" s="121"/>
      <c r="J29" s="121"/>
      <c r="K29" s="122"/>
      <c r="L29" s="42"/>
      <c r="M29" s="53"/>
      <c r="N29" s="54"/>
      <c r="O29" s="54"/>
      <c r="P29" s="55"/>
    </row>
    <row r="30" spans="2:18" ht="14.25" customHeight="1"/>
    <row r="31" spans="2:18" ht="14.25" customHeight="1"/>
    <row r="32" spans="2: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sheetData>
  <mergeCells count="22">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9:K29"/>
    <mergeCell ref="C21:J21"/>
    <mergeCell ref="C23:E23"/>
    <mergeCell ref="C24:K24"/>
    <mergeCell ref="C25:K25"/>
    <mergeCell ref="C26:K26"/>
    <mergeCell ref="C27:K27"/>
    <mergeCell ref="C28:K28"/>
  </mergeCells>
  <hyperlinks>
    <hyperlink ref="V2" location="'REQ. NO FUN. GEN'!A1" display="Volver" xr:uid="{00000000-0004-0000-1700-000000000000}"/>
  </hyperlink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V997"/>
  <sheetViews>
    <sheetView workbookViewId="0">
      <selection activeCell="C32" sqref="C32:K3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84" t="s">
        <v>399</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c r="D12" s="121"/>
      <c r="E12" s="121"/>
      <c r="F12" s="121"/>
      <c r="G12" s="121"/>
      <c r="H12" s="121"/>
      <c r="I12" s="121"/>
      <c r="J12" s="121"/>
      <c r="K12" s="122"/>
      <c r="L12" s="38"/>
      <c r="M12" s="53"/>
      <c r="N12" s="54"/>
      <c r="O12" s="54"/>
      <c r="P12" s="55"/>
    </row>
    <row r="13" spans="2:22" ht="30" customHeight="1">
      <c r="B13" s="31">
        <v>2</v>
      </c>
      <c r="C13" s="120"/>
      <c r="D13" s="121"/>
      <c r="E13" s="121"/>
      <c r="F13" s="121"/>
      <c r="G13" s="121"/>
      <c r="H13" s="121"/>
      <c r="I13" s="121"/>
      <c r="J13" s="121"/>
      <c r="K13" s="122"/>
      <c r="L13" s="40"/>
      <c r="M13" s="53"/>
      <c r="N13" s="54"/>
      <c r="O13" s="54"/>
      <c r="P13" s="55"/>
    </row>
    <row r="14" spans="2:22" ht="30" customHeight="1">
      <c r="B14" s="37">
        <v>3</v>
      </c>
      <c r="C14" s="120"/>
      <c r="D14" s="121"/>
      <c r="E14" s="121"/>
      <c r="F14" s="121"/>
      <c r="G14" s="121"/>
      <c r="H14" s="121"/>
      <c r="I14" s="121"/>
      <c r="J14" s="121"/>
      <c r="K14" s="122"/>
      <c r="M14" s="53"/>
      <c r="N14" s="54"/>
      <c r="O14" s="54"/>
      <c r="P14" s="55"/>
    </row>
    <row r="15" spans="2:22" ht="30" customHeight="1">
      <c r="B15" s="37">
        <v>4</v>
      </c>
      <c r="C15" s="120"/>
      <c r="D15" s="121"/>
      <c r="E15" s="121"/>
      <c r="F15" s="121"/>
      <c r="G15" s="121"/>
      <c r="H15" s="121"/>
      <c r="I15" s="121"/>
      <c r="J15" s="121"/>
      <c r="K15" s="122"/>
      <c r="M15" s="53"/>
      <c r="N15" s="54"/>
      <c r="O15" s="54"/>
      <c r="P15" s="55"/>
    </row>
    <row r="16" spans="2:22" ht="30" customHeight="1">
      <c r="B16" s="37">
        <v>5</v>
      </c>
      <c r="C16" s="120"/>
      <c r="D16" s="121"/>
      <c r="E16" s="121"/>
      <c r="F16" s="121"/>
      <c r="G16" s="121"/>
      <c r="H16" s="121"/>
      <c r="I16" s="121"/>
      <c r="J16" s="121"/>
      <c r="K16" s="122"/>
      <c r="L16" s="38"/>
      <c r="M16" s="53"/>
      <c r="N16" s="54"/>
      <c r="O16" s="54"/>
      <c r="P16" s="55"/>
    </row>
    <row r="17" spans="2:18" ht="30" customHeight="1">
      <c r="B17" s="31">
        <v>6</v>
      </c>
      <c r="C17" s="120"/>
      <c r="D17" s="121"/>
      <c r="E17" s="121"/>
      <c r="F17" s="121"/>
      <c r="G17" s="121"/>
      <c r="H17" s="121"/>
      <c r="I17" s="121"/>
      <c r="J17" s="121"/>
      <c r="K17" s="122"/>
      <c r="L17" s="40"/>
      <c r="M17" s="53"/>
      <c r="N17" s="54"/>
      <c r="O17" s="54"/>
      <c r="P17" s="55"/>
    </row>
    <row r="18" spans="2:18" ht="14.25" customHeight="1"/>
    <row r="19" spans="2:18" ht="14.25" customHeight="1"/>
    <row r="20" spans="2:18" ht="14.25" customHeight="1">
      <c r="B20" s="31"/>
      <c r="C20" s="129" t="s">
        <v>400</v>
      </c>
      <c r="D20" s="130"/>
      <c r="E20" s="130"/>
      <c r="F20" s="130"/>
      <c r="G20" s="130"/>
      <c r="H20" s="130"/>
      <c r="I20" s="130"/>
      <c r="J20" s="131"/>
      <c r="K20" s="32"/>
    </row>
    <row r="21" spans="2:18" ht="14.25" customHeight="1"/>
    <row r="22" spans="2:18" ht="14.25" customHeight="1">
      <c r="B22" s="31"/>
      <c r="C22" s="129"/>
      <c r="D22" s="130"/>
      <c r="E22" s="130"/>
      <c r="F22" s="130"/>
      <c r="G22" s="130"/>
      <c r="H22" s="130"/>
      <c r="I22" s="130"/>
      <c r="J22" s="131"/>
      <c r="K22" s="32"/>
    </row>
    <row r="23" spans="2:18" ht="30" customHeight="1">
      <c r="B23" s="37">
        <v>1</v>
      </c>
      <c r="C23" s="120" t="s">
        <v>401</v>
      </c>
      <c r="D23" s="121"/>
      <c r="E23" s="121"/>
      <c r="F23" s="121"/>
      <c r="G23" s="121"/>
      <c r="H23" s="121"/>
      <c r="I23" s="121"/>
      <c r="J23" s="121"/>
      <c r="K23" s="122"/>
      <c r="L23" s="38"/>
      <c r="M23" s="53" t="s">
        <v>45</v>
      </c>
      <c r="N23" s="54"/>
      <c r="O23" s="54"/>
      <c r="P23" s="55"/>
    </row>
    <row r="24" spans="2:18" ht="30" customHeight="1">
      <c r="B24" s="31">
        <v>2</v>
      </c>
      <c r="C24" s="120" t="s">
        <v>402</v>
      </c>
      <c r="D24" s="121"/>
      <c r="E24" s="121"/>
      <c r="F24" s="121"/>
      <c r="G24" s="121"/>
      <c r="H24" s="121"/>
      <c r="I24" s="121"/>
      <c r="J24" s="121"/>
      <c r="K24" s="122"/>
      <c r="L24" s="40"/>
      <c r="M24" s="53"/>
      <c r="N24" s="54" t="s">
        <v>45</v>
      </c>
      <c r="O24" s="54"/>
      <c r="P24" s="55"/>
      <c r="R24" s="43" t="s">
        <v>364</v>
      </c>
    </row>
    <row r="25" spans="2:18" ht="30" customHeight="1">
      <c r="B25" s="37">
        <v>3</v>
      </c>
      <c r="C25" s="120" t="s">
        <v>403</v>
      </c>
      <c r="D25" s="121"/>
      <c r="E25" s="121"/>
      <c r="F25" s="121"/>
      <c r="G25" s="121"/>
      <c r="H25" s="121"/>
      <c r="I25" s="121"/>
      <c r="J25" s="121"/>
      <c r="K25" s="122"/>
      <c r="M25" s="53"/>
      <c r="N25" s="54" t="s">
        <v>45</v>
      </c>
      <c r="O25" s="54"/>
      <c r="P25" s="55"/>
    </row>
    <row r="26" spans="2:18" ht="30" customHeight="1">
      <c r="B26" s="37">
        <v>4</v>
      </c>
      <c r="C26" s="120" t="s">
        <v>404</v>
      </c>
      <c r="D26" s="121"/>
      <c r="E26" s="121"/>
      <c r="F26" s="121"/>
      <c r="G26" s="121"/>
      <c r="H26" s="121"/>
      <c r="I26" s="121"/>
      <c r="J26" s="121"/>
      <c r="K26" s="122"/>
      <c r="M26" s="53" t="s">
        <v>45</v>
      </c>
      <c r="N26" s="54"/>
      <c r="O26" s="54"/>
      <c r="P26" s="55"/>
    </row>
    <row r="27" spans="2:18" ht="30" customHeight="1">
      <c r="B27" s="37">
        <v>5</v>
      </c>
      <c r="C27" s="120" t="s">
        <v>405</v>
      </c>
      <c r="D27" s="121"/>
      <c r="E27" s="121"/>
      <c r="F27" s="121"/>
      <c r="G27" s="121"/>
      <c r="H27" s="121"/>
      <c r="I27" s="121"/>
      <c r="J27" s="121"/>
      <c r="K27" s="122"/>
      <c r="L27" s="38"/>
      <c r="M27" s="53" t="s">
        <v>45</v>
      </c>
      <c r="N27" s="54"/>
      <c r="O27" s="54"/>
      <c r="P27" s="55"/>
      <c r="R27" s="43" t="s">
        <v>299</v>
      </c>
    </row>
    <row r="28" spans="2:18" ht="30" customHeight="1">
      <c r="B28" s="37">
        <v>6</v>
      </c>
      <c r="C28" s="120" t="s">
        <v>406</v>
      </c>
      <c r="D28" s="121"/>
      <c r="E28" s="121"/>
      <c r="F28" s="121"/>
      <c r="G28" s="121"/>
      <c r="H28" s="121"/>
      <c r="I28" s="121"/>
      <c r="J28" s="121"/>
      <c r="K28" s="122"/>
      <c r="L28" s="42"/>
      <c r="M28" s="53" t="s">
        <v>45</v>
      </c>
      <c r="N28" s="54"/>
      <c r="O28" s="54"/>
      <c r="P28" s="55"/>
      <c r="R28" s="43" t="s">
        <v>299</v>
      </c>
    </row>
    <row r="29" spans="2:18" ht="30" customHeight="1">
      <c r="B29" s="31">
        <v>7</v>
      </c>
      <c r="C29" s="120" t="s">
        <v>407</v>
      </c>
      <c r="D29" s="121"/>
      <c r="E29" s="121"/>
      <c r="F29" s="121"/>
      <c r="G29" s="121"/>
      <c r="H29" s="121"/>
      <c r="I29" s="121"/>
      <c r="J29" s="121"/>
      <c r="K29" s="122"/>
      <c r="L29" s="42"/>
      <c r="M29" s="53"/>
      <c r="N29" s="54" t="s">
        <v>45</v>
      </c>
      <c r="O29" s="54"/>
      <c r="P29" s="55"/>
    </row>
    <row r="30" spans="2:18" ht="30" customHeight="1">
      <c r="B30" s="37">
        <v>8</v>
      </c>
      <c r="C30" s="120" t="s">
        <v>408</v>
      </c>
      <c r="D30" s="121"/>
      <c r="E30" s="121"/>
      <c r="F30" s="121"/>
      <c r="G30" s="121"/>
      <c r="H30" s="121"/>
      <c r="I30" s="121"/>
      <c r="J30" s="121"/>
      <c r="K30" s="122"/>
      <c r="L30" s="42"/>
      <c r="M30" s="53" t="s">
        <v>45</v>
      </c>
      <c r="N30" s="54"/>
      <c r="O30" s="54"/>
      <c r="P30" s="55"/>
    </row>
    <row r="31" spans="2:18" ht="30" customHeight="1">
      <c r="B31" s="37">
        <v>9</v>
      </c>
      <c r="C31" s="120" t="s">
        <v>409</v>
      </c>
      <c r="D31" s="121"/>
      <c r="E31" s="121"/>
      <c r="F31" s="121"/>
      <c r="G31" s="121"/>
      <c r="H31" s="121"/>
      <c r="I31" s="121"/>
      <c r="J31" s="121"/>
      <c r="K31" s="122"/>
      <c r="L31" s="42"/>
      <c r="M31" s="53" t="s">
        <v>45</v>
      </c>
      <c r="N31" s="54"/>
      <c r="O31" s="54"/>
      <c r="P31" s="55"/>
    </row>
    <row r="32" spans="2:18" ht="30" customHeight="1">
      <c r="B32" s="37">
        <v>10</v>
      </c>
      <c r="C32" s="120" t="s">
        <v>410</v>
      </c>
      <c r="D32" s="121"/>
      <c r="E32" s="121"/>
      <c r="F32" s="121"/>
      <c r="G32" s="121"/>
      <c r="H32" s="121"/>
      <c r="I32" s="121"/>
      <c r="J32" s="121"/>
      <c r="K32" s="122"/>
      <c r="L32" s="42"/>
      <c r="M32" s="53"/>
      <c r="N32" s="54" t="s">
        <v>45</v>
      </c>
      <c r="O32" s="54"/>
      <c r="P32" s="55"/>
    </row>
    <row r="33" spans="2:16" ht="30" customHeight="1">
      <c r="B33" s="37">
        <v>11</v>
      </c>
      <c r="C33" s="120"/>
      <c r="D33" s="121"/>
      <c r="E33" s="121"/>
      <c r="F33" s="121"/>
      <c r="G33" s="121"/>
      <c r="H33" s="121"/>
      <c r="I33" s="121"/>
      <c r="J33" s="121"/>
      <c r="K33" s="122"/>
      <c r="L33" s="42"/>
      <c r="M33" s="53"/>
      <c r="N33" s="54"/>
      <c r="O33" s="54"/>
      <c r="P33" s="55"/>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27">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FUN. GEN'!A1" display="Volver" xr:uid="{00000000-0004-0000-1A00-000000000000}"/>
  </hyperlinks>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V993"/>
  <sheetViews>
    <sheetView topLeftCell="A6" workbookViewId="0">
      <selection activeCell="I34" sqref="I34"/>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78"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84" t="s">
        <v>411</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c r="D12" s="121"/>
      <c r="E12" s="121"/>
      <c r="F12" s="121"/>
      <c r="G12" s="121"/>
      <c r="H12" s="121"/>
      <c r="I12" s="121"/>
      <c r="J12" s="121"/>
      <c r="K12" s="122"/>
      <c r="L12" s="38"/>
      <c r="M12" s="53"/>
      <c r="N12" s="54"/>
      <c r="O12" s="54"/>
      <c r="P12" s="55"/>
    </row>
    <row r="13" spans="2:22" ht="30" customHeight="1">
      <c r="B13" s="31">
        <v>2</v>
      </c>
      <c r="C13" s="120"/>
      <c r="D13" s="121"/>
      <c r="E13" s="121"/>
      <c r="F13" s="121"/>
      <c r="G13" s="121"/>
      <c r="H13" s="121"/>
      <c r="I13" s="121"/>
      <c r="J13" s="121"/>
      <c r="K13" s="122"/>
      <c r="L13" s="40"/>
      <c r="M13" s="53"/>
      <c r="N13" s="54"/>
      <c r="O13" s="54"/>
      <c r="P13" s="55"/>
    </row>
    <row r="14" spans="2:22" ht="30" customHeight="1">
      <c r="B14" s="37">
        <v>3</v>
      </c>
      <c r="C14" s="120"/>
      <c r="D14" s="121"/>
      <c r="E14" s="121"/>
      <c r="F14" s="121"/>
      <c r="G14" s="121"/>
      <c r="H14" s="121"/>
      <c r="I14" s="121"/>
      <c r="J14" s="121"/>
      <c r="K14" s="122"/>
      <c r="M14" s="53"/>
      <c r="N14" s="54"/>
      <c r="O14" s="54"/>
      <c r="P14" s="55"/>
    </row>
    <row r="15" spans="2:22" ht="30" customHeight="1">
      <c r="B15" s="37">
        <v>4</v>
      </c>
      <c r="C15" s="120"/>
      <c r="D15" s="121"/>
      <c r="E15" s="121"/>
      <c r="F15" s="121"/>
      <c r="G15" s="121"/>
      <c r="H15" s="121"/>
      <c r="I15" s="121"/>
      <c r="J15" s="121"/>
      <c r="K15" s="122"/>
      <c r="M15" s="53"/>
      <c r="N15" s="54"/>
      <c r="O15" s="54"/>
      <c r="P15" s="55"/>
    </row>
    <row r="16" spans="2:22" ht="30" customHeight="1">
      <c r="B16" s="37">
        <v>5</v>
      </c>
      <c r="C16" s="120"/>
      <c r="D16" s="121"/>
      <c r="E16" s="121"/>
      <c r="F16" s="121"/>
      <c r="G16" s="121"/>
      <c r="H16" s="121"/>
      <c r="I16" s="121"/>
      <c r="J16" s="121"/>
      <c r="K16" s="122"/>
      <c r="L16" s="38"/>
      <c r="M16" s="53"/>
      <c r="N16" s="54"/>
      <c r="O16" s="54"/>
      <c r="P16" s="55"/>
    </row>
    <row r="17" spans="2:18" ht="30" customHeight="1">
      <c r="B17" s="31">
        <v>6</v>
      </c>
      <c r="C17" s="120"/>
      <c r="D17" s="121"/>
      <c r="E17" s="121"/>
      <c r="F17" s="121"/>
      <c r="G17" s="121"/>
      <c r="H17" s="121"/>
      <c r="I17" s="121"/>
      <c r="J17" s="121"/>
      <c r="K17" s="122"/>
      <c r="L17" s="40"/>
      <c r="M17" s="53"/>
      <c r="N17" s="54"/>
      <c r="O17" s="54"/>
      <c r="P17" s="55"/>
    </row>
    <row r="18" spans="2:18" ht="14.25" customHeight="1"/>
    <row r="19" spans="2:18" ht="14.25" customHeight="1"/>
    <row r="20" spans="2:18" ht="14.25" customHeight="1">
      <c r="B20" s="31"/>
      <c r="C20" s="129" t="s">
        <v>412</v>
      </c>
      <c r="D20" s="130"/>
      <c r="E20" s="130"/>
      <c r="F20" s="130"/>
      <c r="G20" s="130"/>
      <c r="H20" s="130"/>
      <c r="I20" s="130"/>
      <c r="J20" s="131"/>
      <c r="K20" s="32"/>
    </row>
    <row r="21" spans="2:18" ht="14.25" customHeight="1"/>
    <row r="22" spans="2:18" ht="14.25" customHeight="1">
      <c r="B22" s="31"/>
      <c r="C22" s="129"/>
      <c r="D22" s="130"/>
      <c r="E22" s="130"/>
      <c r="F22" s="130"/>
      <c r="G22" s="130"/>
      <c r="H22" s="130"/>
      <c r="I22" s="130"/>
      <c r="J22" s="131"/>
      <c r="K22" s="32"/>
    </row>
    <row r="23" spans="2:18" ht="30" customHeight="1">
      <c r="B23" s="37">
        <v>1</v>
      </c>
      <c r="C23" s="120" t="s">
        <v>413</v>
      </c>
      <c r="D23" s="121"/>
      <c r="E23" s="121"/>
      <c r="F23" s="121"/>
      <c r="G23" s="121"/>
      <c r="H23" s="121"/>
      <c r="I23" s="121"/>
      <c r="J23" s="121"/>
      <c r="K23" s="122"/>
      <c r="L23" s="38"/>
      <c r="M23" s="53" t="s">
        <v>45</v>
      </c>
      <c r="N23" s="54"/>
      <c r="O23" s="54"/>
      <c r="P23" s="55"/>
    </row>
    <row r="24" spans="2:18" ht="30" customHeight="1">
      <c r="B24" s="31">
        <v>2</v>
      </c>
      <c r="C24" s="120" t="s">
        <v>414</v>
      </c>
      <c r="D24" s="121"/>
      <c r="E24" s="121"/>
      <c r="F24" s="121"/>
      <c r="G24" s="121"/>
      <c r="H24" s="121"/>
      <c r="I24" s="121"/>
      <c r="J24" s="121"/>
      <c r="K24" s="122"/>
      <c r="L24" s="40"/>
      <c r="M24" s="53"/>
      <c r="N24" s="54" t="s">
        <v>45</v>
      </c>
      <c r="O24" s="54"/>
      <c r="P24" s="55"/>
      <c r="R24" s="56" t="s">
        <v>364</v>
      </c>
    </row>
    <row r="25" spans="2:18" ht="30" customHeight="1">
      <c r="B25" s="37">
        <v>3</v>
      </c>
      <c r="C25" s="120" t="s">
        <v>415</v>
      </c>
      <c r="D25" s="121"/>
      <c r="E25" s="121"/>
      <c r="F25" s="121"/>
      <c r="G25" s="121"/>
      <c r="H25" s="121"/>
      <c r="I25" s="121"/>
      <c r="J25" s="121"/>
      <c r="K25" s="122"/>
      <c r="M25" s="53" t="s">
        <v>45</v>
      </c>
      <c r="N25" s="54"/>
      <c r="O25" s="54"/>
      <c r="P25" s="55"/>
    </row>
    <row r="26" spans="2:18" ht="30" customHeight="1">
      <c r="B26" s="37">
        <v>4</v>
      </c>
      <c r="C26" s="120" t="s">
        <v>416</v>
      </c>
      <c r="D26" s="121"/>
      <c r="E26" s="121"/>
      <c r="F26" s="121"/>
      <c r="G26" s="121"/>
      <c r="H26" s="121"/>
      <c r="I26" s="121"/>
      <c r="J26" s="121"/>
      <c r="K26" s="122"/>
      <c r="M26" s="53"/>
      <c r="N26" s="54" t="s">
        <v>45</v>
      </c>
      <c r="O26" s="54"/>
      <c r="P26" s="55"/>
      <c r="R26" s="56" t="s">
        <v>364</v>
      </c>
    </row>
    <row r="27" spans="2:18" ht="30" customHeight="1">
      <c r="B27" s="37">
        <v>5</v>
      </c>
      <c r="C27" s="120" t="s">
        <v>417</v>
      </c>
      <c r="D27" s="121"/>
      <c r="E27" s="121"/>
      <c r="F27" s="121"/>
      <c r="G27" s="121"/>
      <c r="H27" s="121"/>
      <c r="I27" s="121"/>
      <c r="J27" s="121"/>
      <c r="K27" s="122"/>
      <c r="L27" s="38"/>
      <c r="M27" s="53"/>
      <c r="N27" s="54" t="s">
        <v>45</v>
      </c>
      <c r="O27" s="54"/>
      <c r="P27" s="55"/>
    </row>
    <row r="28" spans="2:18" ht="30" customHeight="1">
      <c r="B28" s="37">
        <v>6</v>
      </c>
      <c r="C28" s="120"/>
      <c r="D28" s="121"/>
      <c r="E28" s="121"/>
      <c r="F28" s="121"/>
      <c r="G28" s="121"/>
      <c r="H28" s="121"/>
      <c r="I28" s="121"/>
      <c r="J28" s="121"/>
      <c r="K28" s="122"/>
      <c r="L28" s="42"/>
      <c r="M28" s="53"/>
      <c r="N28" s="54"/>
      <c r="O28" s="54"/>
      <c r="P28" s="55"/>
    </row>
    <row r="29" spans="2:18" ht="14.25" customHeight="1"/>
    <row r="30" spans="2:18" ht="14.25" customHeight="1"/>
    <row r="31" spans="2:18" ht="14.25" customHeight="1"/>
    <row r="32" spans="2:18"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mergeCells count="22">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20:J20"/>
    <mergeCell ref="C22:J22"/>
    <mergeCell ref="C23:K23"/>
    <mergeCell ref="C24:K24"/>
    <mergeCell ref="C25:K25"/>
    <mergeCell ref="C26:K26"/>
    <mergeCell ref="C27:K27"/>
  </mergeCells>
  <hyperlinks>
    <hyperlink ref="V2" location="'REQ. NO FUN. GEN'!A1" display="Volver" xr:uid="{00000000-0004-0000-1B00-000000000000}"/>
  </hyperlinks>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V998"/>
  <sheetViews>
    <sheetView topLeftCell="A15" workbookViewId="0">
      <selection activeCell="A34" sqref="A34:XFD35"/>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84" t="s">
        <v>418</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c r="D12" s="121"/>
      <c r="E12" s="121"/>
      <c r="F12" s="121"/>
      <c r="G12" s="121"/>
      <c r="H12" s="121"/>
      <c r="I12" s="121"/>
      <c r="J12" s="121"/>
      <c r="K12" s="122"/>
      <c r="L12" s="38"/>
      <c r="M12" s="53"/>
      <c r="N12" s="54"/>
      <c r="O12" s="54"/>
      <c r="P12" s="55"/>
    </row>
    <row r="13" spans="2:22" ht="30" customHeight="1">
      <c r="B13" s="31">
        <v>2</v>
      </c>
      <c r="C13" s="120"/>
      <c r="D13" s="121"/>
      <c r="E13" s="121"/>
      <c r="F13" s="121"/>
      <c r="G13" s="121"/>
      <c r="H13" s="121"/>
      <c r="I13" s="121"/>
      <c r="J13" s="121"/>
      <c r="K13" s="122"/>
      <c r="L13" s="40"/>
      <c r="M13" s="53"/>
      <c r="N13" s="54"/>
      <c r="O13" s="54"/>
      <c r="P13" s="55"/>
    </row>
    <row r="14" spans="2:22" ht="30" customHeight="1">
      <c r="B14" s="37">
        <v>3</v>
      </c>
      <c r="C14" s="120"/>
      <c r="D14" s="121"/>
      <c r="E14" s="121"/>
      <c r="F14" s="121"/>
      <c r="G14" s="121"/>
      <c r="H14" s="121"/>
      <c r="I14" s="121"/>
      <c r="J14" s="121"/>
      <c r="K14" s="122"/>
      <c r="M14" s="53"/>
      <c r="N14" s="54"/>
      <c r="O14" s="54"/>
      <c r="P14" s="55"/>
    </row>
    <row r="15" spans="2:22" ht="30" customHeight="1">
      <c r="B15" s="37">
        <v>4</v>
      </c>
      <c r="C15" s="120"/>
      <c r="D15" s="121"/>
      <c r="E15" s="121"/>
      <c r="F15" s="121"/>
      <c r="G15" s="121"/>
      <c r="H15" s="121"/>
      <c r="I15" s="121"/>
      <c r="J15" s="121"/>
      <c r="K15" s="122"/>
      <c r="M15" s="53"/>
      <c r="N15" s="54"/>
      <c r="O15" s="54"/>
      <c r="P15" s="55"/>
    </row>
    <row r="16" spans="2:22" ht="30" customHeight="1">
      <c r="B16" s="37">
        <v>5</v>
      </c>
      <c r="C16" s="120"/>
      <c r="D16" s="121"/>
      <c r="E16" s="121"/>
      <c r="F16" s="121"/>
      <c r="G16" s="121"/>
      <c r="H16" s="121"/>
      <c r="I16" s="121"/>
      <c r="J16" s="121"/>
      <c r="K16" s="122"/>
      <c r="L16" s="38"/>
      <c r="M16" s="53"/>
      <c r="N16" s="54"/>
      <c r="O16" s="54"/>
      <c r="P16" s="55"/>
    </row>
    <row r="17" spans="2:18" ht="30" customHeight="1">
      <c r="B17" s="31">
        <v>6</v>
      </c>
      <c r="C17" s="120"/>
      <c r="D17" s="121"/>
      <c r="E17" s="121"/>
      <c r="F17" s="121"/>
      <c r="G17" s="121"/>
      <c r="H17" s="121"/>
      <c r="I17" s="121"/>
      <c r="J17" s="121"/>
      <c r="K17" s="122"/>
      <c r="L17" s="40"/>
      <c r="M17" s="53"/>
      <c r="N17" s="54"/>
      <c r="O17" s="54"/>
      <c r="P17" s="55"/>
    </row>
    <row r="18" spans="2:18" ht="14.25" customHeight="1"/>
    <row r="19" spans="2:18" ht="14.25" customHeight="1"/>
    <row r="20" spans="2:18" ht="14.25" customHeight="1">
      <c r="B20" s="31"/>
      <c r="C20" s="129" t="s">
        <v>419</v>
      </c>
      <c r="D20" s="130"/>
      <c r="E20" s="130"/>
      <c r="F20" s="130"/>
      <c r="G20" s="130"/>
      <c r="H20" s="130"/>
      <c r="I20" s="130"/>
      <c r="J20" s="131"/>
      <c r="K20" s="32"/>
    </row>
    <row r="21" spans="2:18" ht="14.25" customHeight="1"/>
    <row r="22" spans="2:18" ht="14.25" customHeight="1">
      <c r="B22" s="31"/>
      <c r="C22" s="129"/>
      <c r="D22" s="130"/>
      <c r="E22" s="130"/>
      <c r="F22" s="130"/>
      <c r="G22" s="130"/>
      <c r="H22" s="130"/>
      <c r="I22" s="130"/>
      <c r="J22" s="131"/>
      <c r="K22" s="32"/>
    </row>
    <row r="23" spans="2:18" ht="30" customHeight="1">
      <c r="B23" s="37">
        <v>1</v>
      </c>
      <c r="C23" s="120" t="s">
        <v>420</v>
      </c>
      <c r="D23" s="121"/>
      <c r="E23" s="121"/>
      <c r="F23" s="121"/>
      <c r="G23" s="121"/>
      <c r="H23" s="121"/>
      <c r="I23" s="121"/>
      <c r="J23" s="121"/>
      <c r="K23" s="122"/>
      <c r="L23" s="38"/>
      <c r="M23" s="53" t="s">
        <v>45</v>
      </c>
      <c r="N23" s="54"/>
      <c r="O23" s="54"/>
      <c r="P23" s="55"/>
    </row>
    <row r="24" spans="2:18" ht="30" customHeight="1">
      <c r="B24" s="31">
        <v>2</v>
      </c>
      <c r="C24" s="120" t="s">
        <v>421</v>
      </c>
      <c r="D24" s="121"/>
      <c r="E24" s="121"/>
      <c r="F24" s="121"/>
      <c r="G24" s="121"/>
      <c r="H24" s="121"/>
      <c r="I24" s="121"/>
      <c r="J24" s="121"/>
      <c r="K24" s="122"/>
      <c r="L24" s="40"/>
      <c r="M24" s="53"/>
      <c r="N24" s="54" t="s">
        <v>45</v>
      </c>
      <c r="O24" s="54"/>
      <c r="P24" s="55"/>
      <c r="R24" s="43" t="s">
        <v>299</v>
      </c>
    </row>
    <row r="25" spans="2:18" ht="30" customHeight="1">
      <c r="B25" s="37">
        <v>3</v>
      </c>
      <c r="C25" s="120" t="s">
        <v>422</v>
      </c>
      <c r="D25" s="121"/>
      <c r="E25" s="121"/>
      <c r="F25" s="121"/>
      <c r="G25" s="121"/>
      <c r="H25" s="121"/>
      <c r="I25" s="121"/>
      <c r="J25" s="121"/>
      <c r="K25" s="122"/>
      <c r="M25" s="53"/>
      <c r="N25" s="54" t="s">
        <v>45</v>
      </c>
      <c r="O25" s="54"/>
      <c r="P25" s="55"/>
    </row>
    <row r="26" spans="2:18" ht="30" customHeight="1">
      <c r="B26" s="37">
        <v>4</v>
      </c>
      <c r="C26" s="120" t="s">
        <v>423</v>
      </c>
      <c r="D26" s="121"/>
      <c r="E26" s="121"/>
      <c r="F26" s="121"/>
      <c r="G26" s="121"/>
      <c r="H26" s="121"/>
      <c r="I26" s="121"/>
      <c r="J26" s="121"/>
      <c r="K26" s="122"/>
      <c r="M26" s="53" t="s">
        <v>45</v>
      </c>
      <c r="N26" s="54"/>
      <c r="O26" s="54"/>
      <c r="P26" s="55"/>
    </row>
    <row r="27" spans="2:18" ht="30" customHeight="1">
      <c r="B27" s="37">
        <v>5</v>
      </c>
      <c r="C27" s="120" t="s">
        <v>424</v>
      </c>
      <c r="D27" s="121"/>
      <c r="E27" s="121"/>
      <c r="F27" s="121"/>
      <c r="G27" s="121"/>
      <c r="H27" s="121"/>
      <c r="I27" s="121"/>
      <c r="J27" s="121"/>
      <c r="K27" s="122"/>
      <c r="L27" s="38"/>
      <c r="M27" s="53"/>
      <c r="N27" s="54" t="s">
        <v>45</v>
      </c>
      <c r="O27" s="54"/>
      <c r="P27" s="55"/>
    </row>
    <row r="28" spans="2:18" ht="30" customHeight="1">
      <c r="B28" s="37">
        <v>6</v>
      </c>
      <c r="C28" s="120" t="s">
        <v>425</v>
      </c>
      <c r="D28" s="121"/>
      <c r="E28" s="121"/>
      <c r="F28" s="121"/>
      <c r="G28" s="121"/>
      <c r="H28" s="121"/>
      <c r="I28" s="121"/>
      <c r="J28" s="121"/>
      <c r="K28" s="122"/>
      <c r="L28" s="42"/>
      <c r="M28" s="53"/>
      <c r="N28" s="54" t="s">
        <v>45</v>
      </c>
      <c r="O28" s="54"/>
      <c r="P28" s="55"/>
      <c r="R28" s="43" t="s">
        <v>299</v>
      </c>
    </row>
    <row r="29" spans="2:18" ht="30" customHeight="1">
      <c r="B29" s="31">
        <v>7</v>
      </c>
      <c r="C29" s="120" t="s">
        <v>426</v>
      </c>
      <c r="D29" s="121"/>
      <c r="E29" s="121"/>
      <c r="F29" s="121"/>
      <c r="G29" s="121"/>
      <c r="H29" s="121"/>
      <c r="I29" s="121"/>
      <c r="J29" s="121"/>
      <c r="K29" s="122"/>
      <c r="L29" s="42"/>
      <c r="M29" s="53"/>
      <c r="N29" s="54" t="s">
        <v>45</v>
      </c>
      <c r="O29" s="54"/>
      <c r="P29" s="55"/>
    </row>
    <row r="30" spans="2:18" ht="30" customHeight="1">
      <c r="B30" s="37">
        <v>8</v>
      </c>
      <c r="C30" s="120" t="s">
        <v>427</v>
      </c>
      <c r="D30" s="121"/>
      <c r="E30" s="121"/>
      <c r="F30" s="121"/>
      <c r="G30" s="121"/>
      <c r="H30" s="121"/>
      <c r="I30" s="121"/>
      <c r="J30" s="121"/>
      <c r="K30" s="122"/>
      <c r="L30" s="42"/>
      <c r="M30" s="53"/>
      <c r="N30" s="54" t="s">
        <v>45</v>
      </c>
      <c r="O30" s="54"/>
      <c r="P30" s="55"/>
    </row>
    <row r="31" spans="2:18" ht="30" customHeight="1">
      <c r="B31" s="37">
        <v>9</v>
      </c>
      <c r="C31" s="120" t="s">
        <v>428</v>
      </c>
      <c r="D31" s="121"/>
      <c r="E31" s="121"/>
      <c r="F31" s="121"/>
      <c r="G31" s="121"/>
      <c r="H31" s="121"/>
      <c r="I31" s="121"/>
      <c r="J31" s="121"/>
      <c r="K31" s="122"/>
      <c r="L31" s="42"/>
      <c r="M31" s="53"/>
      <c r="N31" s="54" t="s">
        <v>45</v>
      </c>
      <c r="O31" s="54"/>
      <c r="P31" s="55"/>
    </row>
    <row r="32" spans="2:18" ht="30" customHeight="1">
      <c r="B32" s="37">
        <v>10</v>
      </c>
      <c r="C32" s="120" t="s">
        <v>429</v>
      </c>
      <c r="D32" s="121"/>
      <c r="E32" s="121"/>
      <c r="F32" s="121"/>
      <c r="G32" s="121"/>
      <c r="H32" s="121"/>
      <c r="I32" s="121"/>
      <c r="J32" s="121"/>
      <c r="K32" s="122"/>
      <c r="L32" s="42"/>
      <c r="M32" s="53"/>
      <c r="N32" s="54" t="s">
        <v>45</v>
      </c>
      <c r="O32" s="54"/>
      <c r="P32" s="55"/>
      <c r="R32" s="43" t="s">
        <v>299</v>
      </c>
    </row>
    <row r="33" spans="2:16" ht="30" customHeight="1">
      <c r="B33" s="37">
        <v>11</v>
      </c>
      <c r="C33" s="120"/>
      <c r="D33" s="121"/>
      <c r="E33" s="121"/>
      <c r="F33" s="121"/>
      <c r="G33" s="121"/>
      <c r="H33" s="121"/>
      <c r="I33" s="121"/>
      <c r="J33" s="121"/>
      <c r="K33" s="122"/>
      <c r="L33" s="42"/>
      <c r="M33" s="53"/>
      <c r="N33" s="54"/>
      <c r="O33" s="54"/>
      <c r="P33" s="55"/>
    </row>
    <row r="34" spans="2:16" ht="14.25" customHeight="1"/>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27">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FUN. GEN'!A1" display="Volver" xr:uid="{00000000-0004-0000-1C00-000000000000}"/>
  </hyperlinks>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V993"/>
  <sheetViews>
    <sheetView topLeftCell="A7" workbookViewId="0">
      <selection activeCell="A29" sqref="A29:XFD35"/>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26" t="s">
        <v>31</v>
      </c>
      <c r="C2" s="135" t="s">
        <v>32</v>
      </c>
      <c r="D2" s="136"/>
      <c r="E2" s="136"/>
      <c r="F2" s="136"/>
      <c r="G2" s="136"/>
      <c r="V2" s="46" t="s">
        <v>13</v>
      </c>
    </row>
    <row r="3" spans="2:22" ht="14.25" customHeight="1">
      <c r="B3" s="26" t="s">
        <v>33</v>
      </c>
      <c r="C3" s="135" t="s">
        <v>34</v>
      </c>
      <c r="D3" s="136"/>
      <c r="E3" s="136"/>
      <c r="F3" s="136"/>
      <c r="G3" s="136"/>
    </row>
    <row r="4" spans="2:22" ht="14.25" customHeight="1">
      <c r="B4" s="26" t="s">
        <v>35</v>
      </c>
      <c r="C4" s="135" t="s">
        <v>36</v>
      </c>
      <c r="D4" s="136"/>
      <c r="E4" s="136"/>
      <c r="F4" s="136"/>
      <c r="G4" s="136"/>
    </row>
    <row r="5" spans="2:22" ht="14.25" customHeight="1">
      <c r="B5" s="137" t="s">
        <v>37</v>
      </c>
      <c r="C5" s="136"/>
      <c r="D5" s="28" t="s">
        <v>38</v>
      </c>
      <c r="E5" s="28"/>
      <c r="F5" s="28"/>
      <c r="G5" s="29"/>
    </row>
    <row r="6" spans="2:22" ht="14.25" customHeight="1">
      <c r="B6" s="25"/>
    </row>
    <row r="7" spans="2:22" ht="14.25" customHeight="1">
      <c r="B7" s="30" t="s">
        <v>39</v>
      </c>
    </row>
    <row r="8" spans="2:22" ht="14.25" customHeight="1">
      <c r="B8" s="25"/>
      <c r="M8" s="123" t="s">
        <v>40</v>
      </c>
      <c r="N8" s="124"/>
      <c r="O8" s="125"/>
      <c r="P8" s="127" t="s">
        <v>41</v>
      </c>
    </row>
    <row r="9" spans="2:22" ht="14.25" customHeight="1">
      <c r="B9" s="31"/>
      <c r="C9" s="184" t="s">
        <v>430</v>
      </c>
      <c r="D9" s="130"/>
      <c r="E9" s="130"/>
      <c r="F9" s="130"/>
      <c r="G9" s="130"/>
      <c r="H9" s="130"/>
      <c r="I9" s="130"/>
      <c r="J9" s="131"/>
      <c r="K9" s="32"/>
      <c r="M9" s="33" t="s">
        <v>31</v>
      </c>
      <c r="N9" s="34" t="s">
        <v>33</v>
      </c>
      <c r="O9" s="34" t="s">
        <v>35</v>
      </c>
      <c r="P9" s="128"/>
    </row>
    <row r="10" spans="2:22" ht="14.25" customHeight="1">
      <c r="B10" s="35"/>
    </row>
    <row r="11" spans="2:22" ht="14.25" customHeight="1">
      <c r="B11" s="36"/>
      <c r="C11" s="132"/>
      <c r="D11" s="133"/>
      <c r="E11" s="134"/>
      <c r="F11" s="32"/>
      <c r="G11" s="32"/>
      <c r="H11" s="32"/>
      <c r="I11" s="32"/>
      <c r="J11" s="32"/>
      <c r="K11" s="32"/>
    </row>
    <row r="12" spans="2:22" ht="30" customHeight="1">
      <c r="B12" s="37">
        <v>1</v>
      </c>
      <c r="C12" s="120"/>
      <c r="D12" s="121"/>
      <c r="E12" s="121"/>
      <c r="F12" s="121"/>
      <c r="G12" s="121"/>
      <c r="H12" s="121"/>
      <c r="I12" s="121"/>
      <c r="J12" s="121"/>
      <c r="K12" s="122"/>
      <c r="L12" s="38"/>
      <c r="M12" s="53"/>
      <c r="N12" s="54"/>
      <c r="O12" s="54"/>
      <c r="P12" s="55"/>
    </row>
    <row r="13" spans="2:22" ht="30" customHeight="1">
      <c r="B13" s="31">
        <v>2</v>
      </c>
      <c r="C13" s="120"/>
      <c r="D13" s="121"/>
      <c r="E13" s="121"/>
      <c r="F13" s="121"/>
      <c r="G13" s="121"/>
      <c r="H13" s="121"/>
      <c r="I13" s="121"/>
      <c r="J13" s="121"/>
      <c r="K13" s="122"/>
      <c r="L13" s="40"/>
      <c r="M13" s="53"/>
      <c r="N13" s="54"/>
      <c r="O13" s="54"/>
      <c r="P13" s="55"/>
    </row>
    <row r="14" spans="2:22" ht="30" customHeight="1">
      <c r="B14" s="37">
        <v>3</v>
      </c>
      <c r="C14" s="120"/>
      <c r="D14" s="121"/>
      <c r="E14" s="121"/>
      <c r="F14" s="121"/>
      <c r="G14" s="121"/>
      <c r="H14" s="121"/>
      <c r="I14" s="121"/>
      <c r="J14" s="121"/>
      <c r="K14" s="122"/>
      <c r="M14" s="53"/>
      <c r="N14" s="54"/>
      <c r="O14" s="54"/>
      <c r="P14" s="55"/>
    </row>
    <row r="15" spans="2:22" ht="30" customHeight="1">
      <c r="B15" s="37">
        <v>4</v>
      </c>
      <c r="C15" s="120"/>
      <c r="D15" s="121"/>
      <c r="E15" s="121"/>
      <c r="F15" s="121"/>
      <c r="G15" s="121"/>
      <c r="H15" s="121"/>
      <c r="I15" s="121"/>
      <c r="J15" s="121"/>
      <c r="K15" s="122"/>
      <c r="M15" s="53"/>
      <c r="N15" s="54"/>
      <c r="O15" s="54"/>
      <c r="P15" s="55"/>
    </row>
    <row r="16" spans="2:22" ht="30" customHeight="1">
      <c r="B16" s="37">
        <v>5</v>
      </c>
      <c r="C16" s="120"/>
      <c r="D16" s="121"/>
      <c r="E16" s="121"/>
      <c r="F16" s="121"/>
      <c r="G16" s="121"/>
      <c r="H16" s="121"/>
      <c r="I16" s="121"/>
      <c r="J16" s="121"/>
      <c r="K16" s="122"/>
      <c r="L16" s="38"/>
      <c r="M16" s="53"/>
      <c r="N16" s="54"/>
      <c r="O16" s="54"/>
      <c r="P16" s="55"/>
    </row>
    <row r="17" spans="2:16" ht="30" customHeight="1">
      <c r="B17" s="31">
        <v>6</v>
      </c>
      <c r="C17" s="120"/>
      <c r="D17" s="121"/>
      <c r="E17" s="121"/>
      <c r="F17" s="121"/>
      <c r="G17" s="121"/>
      <c r="H17" s="121"/>
      <c r="I17" s="121"/>
      <c r="J17" s="121"/>
      <c r="K17" s="122"/>
      <c r="L17" s="40"/>
      <c r="M17" s="53"/>
      <c r="N17" s="54"/>
      <c r="O17" s="54"/>
      <c r="P17" s="55"/>
    </row>
    <row r="18" spans="2:16" ht="14.25" customHeight="1"/>
    <row r="19" spans="2:16" ht="14.25" customHeight="1"/>
    <row r="20" spans="2:16" ht="14.25" customHeight="1">
      <c r="B20" s="31"/>
      <c r="C20" s="129" t="s">
        <v>431</v>
      </c>
      <c r="D20" s="130"/>
      <c r="E20" s="130"/>
      <c r="F20" s="130"/>
      <c r="G20" s="130"/>
      <c r="H20" s="130"/>
      <c r="I20" s="130"/>
      <c r="J20" s="131"/>
      <c r="K20" s="32"/>
    </row>
    <row r="21" spans="2:16" ht="14.25" customHeight="1"/>
    <row r="22" spans="2:16" ht="14.25" customHeight="1">
      <c r="B22" s="31"/>
      <c r="C22" s="129"/>
      <c r="D22" s="130"/>
      <c r="E22" s="130"/>
      <c r="F22" s="130"/>
      <c r="G22" s="130"/>
      <c r="H22" s="130"/>
      <c r="I22" s="130"/>
      <c r="J22" s="131"/>
      <c r="K22" s="32"/>
    </row>
    <row r="23" spans="2:16" ht="30" customHeight="1">
      <c r="B23" s="37">
        <v>1</v>
      </c>
      <c r="C23" s="120" t="s">
        <v>432</v>
      </c>
      <c r="D23" s="121"/>
      <c r="E23" s="121"/>
      <c r="F23" s="121"/>
      <c r="G23" s="121"/>
      <c r="H23" s="121"/>
      <c r="I23" s="121"/>
      <c r="J23" s="121"/>
      <c r="K23" s="122"/>
      <c r="L23" s="38"/>
      <c r="M23" s="53"/>
      <c r="N23" s="54" t="s">
        <v>45</v>
      </c>
      <c r="O23" s="54"/>
      <c r="P23" s="55"/>
    </row>
    <row r="24" spans="2:16" ht="30" customHeight="1">
      <c r="B24" s="31">
        <v>2</v>
      </c>
      <c r="C24" s="120" t="s">
        <v>433</v>
      </c>
      <c r="D24" s="121"/>
      <c r="E24" s="121"/>
      <c r="F24" s="121"/>
      <c r="G24" s="121"/>
      <c r="H24" s="121"/>
      <c r="I24" s="121"/>
      <c r="J24" s="121"/>
      <c r="K24" s="122"/>
      <c r="L24" s="40"/>
      <c r="M24" s="53"/>
      <c r="N24" s="54" t="s">
        <v>45</v>
      </c>
      <c r="O24" s="54"/>
      <c r="P24" s="55"/>
    </row>
    <row r="25" spans="2:16" ht="30" customHeight="1">
      <c r="B25" s="37">
        <v>3</v>
      </c>
      <c r="C25" s="120" t="s">
        <v>434</v>
      </c>
      <c r="D25" s="121"/>
      <c r="E25" s="121"/>
      <c r="F25" s="121"/>
      <c r="G25" s="121"/>
      <c r="H25" s="121"/>
      <c r="I25" s="121"/>
      <c r="J25" s="121"/>
      <c r="K25" s="122"/>
      <c r="M25" s="53"/>
      <c r="N25" s="54" t="s">
        <v>45</v>
      </c>
      <c r="O25" s="54"/>
      <c r="P25" s="55"/>
    </row>
    <row r="26" spans="2:16" ht="30" customHeight="1">
      <c r="B26" s="37">
        <v>4</v>
      </c>
      <c r="C26" s="120" t="s">
        <v>435</v>
      </c>
      <c r="D26" s="121"/>
      <c r="E26" s="121"/>
      <c r="F26" s="121"/>
      <c r="G26" s="121"/>
      <c r="H26" s="121"/>
      <c r="I26" s="121"/>
      <c r="J26" s="121"/>
      <c r="K26" s="122"/>
      <c r="M26" s="53"/>
      <c r="N26" s="54" t="s">
        <v>45</v>
      </c>
      <c r="O26" s="54"/>
      <c r="P26" s="55"/>
    </row>
    <row r="27" spans="2:16" ht="30" customHeight="1">
      <c r="B27" s="37">
        <v>5</v>
      </c>
      <c r="C27" s="120" t="s">
        <v>436</v>
      </c>
      <c r="D27" s="121"/>
      <c r="E27" s="121"/>
      <c r="F27" s="121"/>
      <c r="G27" s="121"/>
      <c r="H27" s="121"/>
      <c r="I27" s="121"/>
      <c r="J27" s="121"/>
      <c r="K27" s="122"/>
      <c r="L27" s="38"/>
      <c r="M27" s="53"/>
      <c r="N27" s="54" t="s">
        <v>45</v>
      </c>
      <c r="O27" s="54"/>
      <c r="P27" s="55"/>
    </row>
    <row r="28" spans="2:16" ht="30" customHeight="1">
      <c r="B28" s="37">
        <v>6</v>
      </c>
      <c r="C28" s="120"/>
      <c r="D28" s="121"/>
      <c r="E28" s="121"/>
      <c r="F28" s="121"/>
      <c r="G28" s="121"/>
      <c r="H28" s="121"/>
      <c r="I28" s="121"/>
      <c r="J28" s="121"/>
      <c r="K28" s="122"/>
      <c r="L28" s="42"/>
      <c r="M28" s="53"/>
      <c r="N28" s="54"/>
      <c r="O28" s="54"/>
      <c r="P28" s="55"/>
    </row>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sheetData>
  <mergeCells count="22">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20:J20"/>
    <mergeCell ref="C22:J22"/>
    <mergeCell ref="C23:K23"/>
    <mergeCell ref="C24:K24"/>
    <mergeCell ref="C25:K25"/>
    <mergeCell ref="C26:K26"/>
    <mergeCell ref="C27:K27"/>
  </mergeCells>
  <hyperlinks>
    <hyperlink ref="V2" location="'REQ. NO FUN. GEN'!A1" display="Volver" xr:uid="{00000000-0004-0000-1D00-000000000000}"/>
  </hyperlinks>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B1:S1000"/>
  <sheetViews>
    <sheetView workbookViewId="0">
      <selection activeCell="S2" sqref="S2"/>
    </sheetView>
  </sheetViews>
  <sheetFormatPr baseColWidth="10" defaultColWidth="12.5703125" defaultRowHeight="15" customHeight="1"/>
  <cols>
    <col min="1" max="13" width="10.5703125" customWidth="1"/>
    <col min="14" max="16" width="25.7109375" customWidth="1"/>
    <col min="17" max="17" width="15.7109375" customWidth="1"/>
    <col min="18" max="25" width="10.5703125" customWidth="1"/>
  </cols>
  <sheetData>
    <row r="1" spans="2:19" ht="14.25" customHeight="1"/>
    <row r="2" spans="2:19" ht="14.25" customHeight="1">
      <c r="B2" s="185" t="s">
        <v>437</v>
      </c>
      <c r="C2" s="121"/>
      <c r="D2" s="122"/>
      <c r="F2" s="185" t="s">
        <v>438</v>
      </c>
      <c r="G2" s="121"/>
      <c r="H2" s="122"/>
      <c r="J2" s="185" t="s">
        <v>439</v>
      </c>
      <c r="K2" s="121"/>
      <c r="L2" s="122"/>
      <c r="N2" s="185" t="s">
        <v>440</v>
      </c>
      <c r="O2" s="121"/>
      <c r="P2" s="122"/>
      <c r="Q2" s="43"/>
      <c r="S2" s="46" t="s">
        <v>13</v>
      </c>
    </row>
    <row r="3" spans="2:19" ht="14.25" customHeight="1"/>
    <row r="4" spans="2:19" ht="29.25" customHeight="1">
      <c r="B4" s="43" t="s">
        <v>441</v>
      </c>
      <c r="F4" s="43" t="s">
        <v>442</v>
      </c>
      <c r="J4" s="43" t="s">
        <v>443</v>
      </c>
      <c r="N4" s="186" t="s">
        <v>444</v>
      </c>
      <c r="O4" s="187"/>
      <c r="P4" s="187"/>
      <c r="Q4" s="64"/>
    </row>
    <row r="5" spans="2:19" ht="14.25" customHeight="1">
      <c r="B5" s="43" t="s">
        <v>445</v>
      </c>
      <c r="F5" s="43" t="s">
        <v>446</v>
      </c>
      <c r="J5" s="43" t="s">
        <v>447</v>
      </c>
      <c r="N5" s="188" t="s">
        <v>448</v>
      </c>
      <c r="O5" s="188"/>
      <c r="P5" s="188"/>
      <c r="Q5" s="64"/>
    </row>
    <row r="6" spans="2:19" ht="14.25" customHeight="1">
      <c r="B6" s="43" t="s">
        <v>449</v>
      </c>
      <c r="F6" s="43" t="s">
        <v>450</v>
      </c>
      <c r="J6" s="43" t="s">
        <v>451</v>
      </c>
      <c r="N6" s="188" t="s">
        <v>452</v>
      </c>
      <c r="O6" s="188"/>
      <c r="P6" s="188"/>
      <c r="Q6" s="64" t="s">
        <v>607</v>
      </c>
    </row>
    <row r="7" spans="2:19" ht="14.25" customHeight="1">
      <c r="B7" s="43" t="s">
        <v>453</v>
      </c>
      <c r="F7" s="43" t="s">
        <v>454</v>
      </c>
      <c r="J7" s="43" t="s">
        <v>455</v>
      </c>
      <c r="N7" s="188" t="s">
        <v>456</v>
      </c>
      <c r="O7" s="188"/>
      <c r="P7" s="188"/>
      <c r="Q7" s="65" t="s">
        <v>607</v>
      </c>
    </row>
    <row r="8" spans="2:19" ht="14.25" customHeight="1">
      <c r="B8" s="43" t="s">
        <v>457</v>
      </c>
      <c r="F8" s="43" t="s">
        <v>458</v>
      </c>
      <c r="J8" s="43" t="s">
        <v>459</v>
      </c>
      <c r="N8" s="188" t="s">
        <v>460</v>
      </c>
      <c r="O8" s="188"/>
      <c r="P8" s="188"/>
      <c r="Q8" s="64" t="s">
        <v>607</v>
      </c>
    </row>
    <row r="9" spans="2:19" ht="14.25" customHeight="1">
      <c r="B9" s="43" t="s">
        <v>461</v>
      </c>
      <c r="F9" s="43" t="s">
        <v>462</v>
      </c>
      <c r="J9" s="43" t="s">
        <v>463</v>
      </c>
      <c r="N9" s="188" t="s">
        <v>464</v>
      </c>
      <c r="O9" s="188"/>
      <c r="P9" s="188"/>
      <c r="Q9" s="64" t="s">
        <v>671</v>
      </c>
    </row>
    <row r="10" spans="2:19" ht="14.25" customHeight="1">
      <c r="B10" s="43" t="s">
        <v>465</v>
      </c>
      <c r="F10" s="43" t="s">
        <v>466</v>
      </c>
      <c r="J10" s="43" t="s">
        <v>467</v>
      </c>
    </row>
    <row r="11" spans="2:19" ht="14.25" customHeight="1">
      <c r="B11" s="43" t="s">
        <v>468</v>
      </c>
      <c r="F11" s="43" t="s">
        <v>469</v>
      </c>
      <c r="J11" s="43" t="s">
        <v>470</v>
      </c>
    </row>
    <row r="12" spans="2:19" ht="14.25" customHeight="1">
      <c r="B12" s="43" t="s">
        <v>471</v>
      </c>
      <c r="F12" s="43" t="s">
        <v>472</v>
      </c>
      <c r="J12" s="43" t="s">
        <v>473</v>
      </c>
    </row>
    <row r="13" spans="2:19" ht="14.25" customHeight="1">
      <c r="B13" s="43" t="s">
        <v>474</v>
      </c>
      <c r="F13" s="43" t="s">
        <v>475</v>
      </c>
      <c r="J13" s="43" t="s">
        <v>476</v>
      </c>
    </row>
    <row r="14" spans="2:19" ht="14.25" customHeight="1">
      <c r="B14" s="43" t="s">
        <v>477</v>
      </c>
      <c r="F14" s="43" t="s">
        <v>478</v>
      </c>
      <c r="J14" s="43" t="s">
        <v>479</v>
      </c>
    </row>
    <row r="15" spans="2:19" ht="14.25" customHeight="1">
      <c r="B15" s="43" t="s">
        <v>480</v>
      </c>
      <c r="F15" s="43" t="s">
        <v>481</v>
      </c>
      <c r="J15" s="43" t="s">
        <v>482</v>
      </c>
    </row>
    <row r="16" spans="2:19" ht="14.25" customHeight="1">
      <c r="B16" s="43" t="s">
        <v>483</v>
      </c>
      <c r="F16" s="43" t="s">
        <v>484</v>
      </c>
      <c r="J16" s="43" t="s">
        <v>485</v>
      </c>
    </row>
    <row r="17" spans="2:10" ht="14.25" customHeight="1">
      <c r="B17" s="43" t="s">
        <v>486</v>
      </c>
      <c r="F17" s="43" t="s">
        <v>487</v>
      </c>
      <c r="J17" s="43" t="s">
        <v>488</v>
      </c>
    </row>
    <row r="18" spans="2:10" ht="14.25" customHeight="1">
      <c r="B18" s="43" t="s">
        <v>489</v>
      </c>
      <c r="F18" s="43" t="s">
        <v>490</v>
      </c>
      <c r="J18" s="43" t="s">
        <v>491</v>
      </c>
    </row>
    <row r="19" spans="2:10" ht="14.25" customHeight="1">
      <c r="B19" s="43" t="s">
        <v>492</v>
      </c>
      <c r="F19" s="43" t="s">
        <v>493</v>
      </c>
      <c r="J19" s="43" t="s">
        <v>494</v>
      </c>
    </row>
    <row r="20" spans="2:10" ht="14.25" customHeight="1">
      <c r="B20" s="43" t="s">
        <v>495</v>
      </c>
      <c r="F20" s="43" t="s">
        <v>496</v>
      </c>
      <c r="J20" s="43" t="s">
        <v>497</v>
      </c>
    </row>
    <row r="21" spans="2:10" ht="14.25" customHeight="1">
      <c r="B21" s="43" t="s">
        <v>498</v>
      </c>
      <c r="F21" s="43" t="s">
        <v>499</v>
      </c>
      <c r="J21" s="43" t="s">
        <v>500</v>
      </c>
    </row>
    <row r="22" spans="2:10" ht="14.25" customHeight="1">
      <c r="B22" s="43" t="s">
        <v>501</v>
      </c>
      <c r="F22" s="43" t="s">
        <v>502</v>
      </c>
      <c r="J22" s="43" t="s">
        <v>503</v>
      </c>
    </row>
    <row r="23" spans="2:10" ht="14.25" customHeight="1">
      <c r="B23" s="43" t="s">
        <v>504</v>
      </c>
      <c r="F23" s="43" t="s">
        <v>505</v>
      </c>
      <c r="J23" s="43" t="s">
        <v>506</v>
      </c>
    </row>
    <row r="24" spans="2:10" ht="14.25" customHeight="1">
      <c r="B24" s="43" t="s">
        <v>507</v>
      </c>
      <c r="F24" s="43" t="s">
        <v>508</v>
      </c>
      <c r="J24" s="43" t="s">
        <v>509</v>
      </c>
    </row>
    <row r="25" spans="2:10" ht="14.25" customHeight="1">
      <c r="B25" s="43" t="s">
        <v>510</v>
      </c>
      <c r="F25" s="43" t="s">
        <v>511</v>
      </c>
      <c r="J25" s="43" t="s">
        <v>512</v>
      </c>
    </row>
    <row r="26" spans="2:10" ht="14.25" customHeight="1">
      <c r="B26" s="43" t="s">
        <v>513</v>
      </c>
      <c r="F26" s="43" t="s">
        <v>514</v>
      </c>
      <c r="J26" s="43" t="s">
        <v>515</v>
      </c>
    </row>
    <row r="27" spans="2:10" ht="14.25" customHeight="1">
      <c r="F27" s="43" t="s">
        <v>516</v>
      </c>
      <c r="J27" s="43" t="s">
        <v>517</v>
      </c>
    </row>
    <row r="28" spans="2:10" ht="14.25" customHeight="1">
      <c r="F28" s="43" t="s">
        <v>518</v>
      </c>
      <c r="J28" s="43" t="s">
        <v>519</v>
      </c>
    </row>
    <row r="29" spans="2:10" ht="14.25" customHeight="1">
      <c r="F29" s="43" t="s">
        <v>520</v>
      </c>
      <c r="J29" s="43" t="s">
        <v>521</v>
      </c>
    </row>
    <row r="30" spans="2:10" ht="14.25" customHeight="1">
      <c r="F30" s="43" t="s">
        <v>522</v>
      </c>
      <c r="J30" s="43" t="s">
        <v>523</v>
      </c>
    </row>
    <row r="31" spans="2:10" ht="14.25" customHeight="1">
      <c r="F31" s="43" t="s">
        <v>524</v>
      </c>
      <c r="J31" s="43" t="s">
        <v>525</v>
      </c>
    </row>
    <row r="32" spans="2:10" ht="14.25" customHeight="1">
      <c r="F32" s="43" t="s">
        <v>526</v>
      </c>
      <c r="J32" s="43" t="s">
        <v>527</v>
      </c>
    </row>
    <row r="33" spans="2:10" ht="14.25" customHeight="1">
      <c r="F33" s="43" t="s">
        <v>528</v>
      </c>
      <c r="J33" s="43" t="s">
        <v>529</v>
      </c>
    </row>
    <row r="34" spans="2:10" ht="14.25" customHeight="1">
      <c r="F34" s="43" t="s">
        <v>530</v>
      </c>
    </row>
    <row r="35" spans="2:10" ht="14.25" customHeight="1"/>
    <row r="36" spans="2:10" ht="14.25" customHeight="1"/>
    <row r="37" spans="2:10" ht="14.25" customHeight="1"/>
    <row r="38" spans="2:10" ht="14.25" customHeight="1"/>
    <row r="39" spans="2:10" ht="14.25" customHeight="1">
      <c r="B39" s="43" t="s">
        <v>531</v>
      </c>
    </row>
    <row r="40" spans="2:10" ht="14.25" customHeight="1"/>
    <row r="41" spans="2:10" ht="14.25" customHeight="1"/>
    <row r="42" spans="2:10" ht="14.25" customHeight="1"/>
    <row r="43" spans="2:10" ht="14.25" customHeight="1"/>
    <row r="44" spans="2:10" ht="14.25" customHeight="1"/>
    <row r="45" spans="2:10" ht="14.25" customHeight="1"/>
    <row r="46" spans="2:10" ht="14.25" customHeight="1"/>
    <row r="47" spans="2:10" ht="14.25" customHeight="1"/>
    <row r="48" spans="2:1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N5:P5"/>
    <mergeCell ref="N6:P6"/>
    <mergeCell ref="N7:P7"/>
    <mergeCell ref="N8:P8"/>
    <mergeCell ref="N9:P9"/>
    <mergeCell ref="B2:D2"/>
    <mergeCell ref="F2:H2"/>
    <mergeCell ref="J2:L2"/>
    <mergeCell ref="N2:P2"/>
    <mergeCell ref="N4:P4"/>
  </mergeCells>
  <hyperlinks>
    <hyperlink ref="S2" location="GENERAL!A1" display="Volver" xr:uid="{00000000-0004-0000-2600-000000000000}"/>
  </hyperlink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35</vt:i4>
      </vt:variant>
      <vt:variant>
        <vt:lpstr>Rangos con nombre</vt:lpstr>
      </vt:variant>
      <vt:variant>
        <vt:i4>1</vt:i4>
      </vt:variant>
    </vt:vector>
  </HeadingPairs>
  <TitlesOfParts>
    <vt:vector size="36" baseType="lpstr">
      <vt:lpstr>GENERAL</vt:lpstr>
      <vt:lpstr>REQ. USUARIO</vt:lpstr>
      <vt:lpstr>REQ. FUN. GEN</vt:lpstr>
      <vt:lpstr>REQ. NO FUN. GEN</vt:lpstr>
      <vt:lpstr>REQ. FUN</vt:lpstr>
      <vt:lpstr>REQ. NO FUN</vt:lpstr>
      <vt:lpstr>PAG. WEB - Landing FUN.</vt:lpstr>
      <vt:lpstr>PAG. WEB - Landing NO FUN.</vt:lpstr>
      <vt:lpstr>Inicio de sesión FUN.</vt:lpstr>
      <vt:lpstr>Inicio de sesión NO FUN.</vt:lpstr>
      <vt:lpstr>Registro FUN.</vt:lpstr>
      <vt:lpstr>Registro NO FUN.</vt:lpstr>
      <vt:lpstr>Cliente Web FUN.</vt:lpstr>
      <vt:lpstr>Cliente Web  NO FUN.</vt:lpstr>
      <vt:lpstr>Panel Admin FUN.</vt:lpstr>
      <vt:lpstr>Panel Admin NO FUN.</vt:lpstr>
      <vt:lpstr>Instrumental FUN.</vt:lpstr>
      <vt:lpstr>Instrumental NO FUN.</vt:lpstr>
      <vt:lpstr>Materia prima FUN.</vt:lpstr>
      <vt:lpstr>Materia prima NO FUN.</vt:lpstr>
      <vt:lpstr>Productos FUN</vt:lpstr>
      <vt:lpstr>Productos NO FUN</vt:lpstr>
      <vt:lpstr>Finanzas FUN</vt:lpstr>
      <vt:lpstr>Finanzas NO FUN</vt:lpstr>
      <vt:lpstr>Historial FUN</vt:lpstr>
      <vt:lpstr>Historial NO FUN.</vt:lpstr>
      <vt:lpstr>Facturación FUN.</vt:lpstr>
      <vt:lpstr>Facturación NO FUN.</vt:lpstr>
      <vt:lpstr>Clientes FUN</vt:lpstr>
      <vt:lpstr>Clientes NO FUN.</vt:lpstr>
      <vt:lpstr>Gestión Usuarios FUN.</vt:lpstr>
      <vt:lpstr>Gestión Usuarios NO FUN.</vt:lpstr>
      <vt:lpstr>Permisos y Menús FUN.</vt:lpstr>
      <vt:lpstr>Permisos y Menús NO FUN.</vt:lpstr>
      <vt:lpstr>INVENTARIO TRANSACCIONAL</vt:lpstr>
      <vt:lpstr>Requerimientos_Instrumental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Barrios</dc:creator>
  <cp:lastModifiedBy>Juan Esteban Barrios Bautista</cp:lastModifiedBy>
  <dcterms:created xsi:type="dcterms:W3CDTF">2025-04-04T20:21:11Z</dcterms:created>
  <dcterms:modified xsi:type="dcterms:W3CDTF">2026-05-13T21:58:03Z</dcterms:modified>
</cp:coreProperties>
</file>