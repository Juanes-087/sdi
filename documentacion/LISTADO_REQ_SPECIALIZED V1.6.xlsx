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ANES\Desktop\OTROS ADSO\adso\expo (TODO AQUI)\documentacion\"/>
    </mc:Choice>
  </mc:AlternateContent>
  <xr:revisionPtr revIDLastSave="0" documentId="13_ncr:1_{07D3E385-F522-44E0-81F8-656909BC2409}" xr6:coauthVersionLast="47" xr6:coauthVersionMax="47" xr10:uidLastSave="{00000000-0000-0000-0000-000000000000}"/>
  <bookViews>
    <workbookView xWindow="-120" yWindow="-120" windowWidth="29040" windowHeight="15840" xr2:uid="{00000000-000D-0000-FFFF-FFFF00000000}"/>
  </bookViews>
  <sheets>
    <sheet name="GENERAL" sheetId="1" r:id="rId1"/>
    <sheet name="REQ. USUARIO" sheetId="2" r:id="rId2"/>
    <sheet name="REQ. FUN. GEN" sheetId="3" r:id="rId3"/>
    <sheet name="REQ. NO FUN. GEN" sheetId="4" r:id="rId4"/>
    <sheet name="REQ. FUN" sheetId="5" r:id="rId5"/>
    <sheet name="REQ. NO FUN" sheetId="6" r:id="rId6"/>
    <sheet name="PAG. WEB - Landing FUN." sheetId="7" r:id="rId7"/>
    <sheet name="PAG. WEB - Landing NO FUN." sheetId="8" r:id="rId8"/>
    <sheet name="Inicio de sesión FUN." sheetId="9" r:id="rId9"/>
    <sheet name="Inicio de sesión NO FUN." sheetId="10" r:id="rId10"/>
    <sheet name="Registro FUN." sheetId="11" r:id="rId11"/>
    <sheet name="Registro NO FUN." sheetId="12" r:id="rId12"/>
    <sheet name="Inf. Personal FUN." sheetId="13" r:id="rId13"/>
    <sheet name="Inf. Personal NO FUN." sheetId="14" r:id="rId14"/>
    <sheet name="Panel Admin FUN." sheetId="15" r:id="rId15"/>
    <sheet name="Panel Admin NO FUN." sheetId="16" r:id="rId16"/>
    <sheet name="Instrumental FUN." sheetId="17" r:id="rId17"/>
    <sheet name="Instrumental NO FUN." sheetId="18" r:id="rId18"/>
    <sheet name="Materia prima FUN." sheetId="19" r:id="rId19"/>
    <sheet name="Materia prima NO FUN." sheetId="20" r:id="rId20"/>
    <sheet name="Productos FUN" sheetId="40" r:id="rId21"/>
    <sheet name="Productos NO FUN" sheetId="41" r:id="rId22"/>
    <sheet name="Finanzas FUN" sheetId="42" r:id="rId23"/>
    <sheet name="Finanzas NO FUN" sheetId="43" r:id="rId24"/>
    <sheet name="Historial FUN" sheetId="21" r:id="rId25"/>
    <sheet name="Historial NO FUN." sheetId="22" r:id="rId26"/>
    <sheet name="Clientes FUN" sheetId="23" r:id="rId27"/>
    <sheet name="Clientes NO FUN." sheetId="24" r:id="rId28"/>
    <sheet name="Facturación FUN." sheetId="25" r:id="rId29"/>
    <sheet name="Facturación NO FUN." sheetId="26" r:id="rId30"/>
    <sheet name="Gestión Usuarios FUN." sheetId="27" r:id="rId31"/>
    <sheet name="Gestión Usuarios NO FUN." sheetId="28" r:id="rId32"/>
    <sheet name="Permisos y Menús FUN." sheetId="29" r:id="rId33"/>
    <sheet name="Permisos y Menús NO FUN." sheetId="30" r:id="rId34"/>
    <sheet name="INVENTARIO TRANSACCIONAL" sheetId="39" r:id="rId35"/>
  </sheets>
  <definedNames>
    <definedName name="Requerimientos_Instrumental">'REQ. FUN. GEN'!$C$8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3" roundtripDataChecksum="xI83FSbMzff4pwqKa2JbpIu+NWZHISVUEasTJz8RbKQ="/>
    </ext>
  </extLst>
</workbook>
</file>

<file path=xl/calcChain.xml><?xml version="1.0" encoding="utf-8"?>
<calcChain xmlns="http://schemas.openxmlformats.org/spreadsheetml/2006/main">
  <c r="G11" i="4" l="1"/>
  <c r="F11" i="4"/>
  <c r="G10" i="4"/>
  <c r="F10" i="4"/>
  <c r="G11" i="3"/>
  <c r="G10" i="3"/>
  <c r="F11" i="3"/>
  <c r="F10" i="3"/>
  <c r="G18" i="4"/>
  <c r="F18" i="4"/>
  <c r="G17" i="4"/>
  <c r="F17" i="4"/>
  <c r="G14" i="4"/>
  <c r="F14" i="4"/>
  <c r="G13" i="4"/>
  <c r="F13" i="4"/>
  <c r="G12" i="4"/>
  <c r="F12" i="4"/>
  <c r="G9" i="4"/>
  <c r="F9" i="4"/>
  <c r="G8" i="4"/>
  <c r="F8" i="4"/>
  <c r="G7" i="4"/>
  <c r="F7" i="4"/>
  <c r="G6" i="4"/>
  <c r="F6" i="4"/>
  <c r="G5" i="4"/>
  <c r="F5" i="4"/>
  <c r="G4" i="4"/>
  <c r="F4" i="4"/>
  <c r="G3" i="4"/>
  <c r="F3" i="4"/>
  <c r="G18" i="3"/>
  <c r="F18" i="3"/>
  <c r="G17" i="3"/>
  <c r="F17" i="3"/>
  <c r="G14" i="3"/>
  <c r="F14" i="3"/>
  <c r="G13" i="3"/>
  <c r="F13" i="3"/>
  <c r="G12" i="3"/>
  <c r="F12" i="3"/>
  <c r="G9" i="3"/>
  <c r="F9" i="3"/>
  <c r="G8" i="3"/>
  <c r="F8" i="3"/>
  <c r="G7" i="3"/>
  <c r="F7" i="3"/>
  <c r="G6" i="3"/>
  <c r="F6" i="3"/>
  <c r="G5" i="3"/>
  <c r="F5" i="3"/>
  <c r="G4" i="3"/>
  <c r="F4" i="3"/>
  <c r="G3" i="3"/>
  <c r="F3" i="3"/>
  <c r="H6" i="2"/>
  <c r="G6" i="2"/>
  <c r="H4" i="2"/>
  <c r="G4" i="2"/>
  <c r="C16" i="2" l="1"/>
  <c r="G16" i="2"/>
  <c r="H7" i="1" s="1"/>
  <c r="L23" i="4"/>
  <c r="G11" i="1" s="1"/>
  <c r="L23" i="3"/>
  <c r="G9" i="1" s="1"/>
  <c r="P23" i="3"/>
  <c r="H9" i="1" s="1"/>
  <c r="P23" i="4"/>
  <c r="H11" i="1" s="1"/>
  <c r="E19" i="2" l="1"/>
  <c r="F7" i="1" s="1"/>
  <c r="G7" i="1"/>
  <c r="N26" i="4"/>
  <c r="F11" i="1" s="1"/>
  <c r="N26" i="3"/>
  <c r="F9" i="1" s="1"/>
  <c r="S9" i="1"/>
  <c r="O9" i="1"/>
  <c r="K9" i="1" l="1"/>
  <c r="E14" i="1" s="1"/>
</calcChain>
</file>

<file path=xl/sharedStrings.xml><?xml version="1.0" encoding="utf-8"?>
<sst xmlns="http://schemas.openxmlformats.org/spreadsheetml/2006/main" count="2178" uniqueCount="955">
  <si>
    <t>RESUMEN REQUERIMIENTOS</t>
  </si>
  <si>
    <t>TOTAL</t>
  </si>
  <si>
    <t>CUMPLE</t>
  </si>
  <si>
    <t>NO CUMPLE</t>
  </si>
  <si>
    <t>* Requisitos de usuario</t>
  </si>
  <si>
    <t>CUMPLIDOS</t>
  </si>
  <si>
    <t>NO CUMPLIDOS</t>
  </si>
  <si>
    <t>* Requisitos funcionales</t>
  </si>
  <si>
    <t>* Requisitos no funcionales</t>
  </si>
  <si>
    <t>Porcentaje real</t>
  </si>
  <si>
    <t>Inventario Transacciones</t>
  </si>
  <si>
    <t>Cumple</t>
  </si>
  <si>
    <t>No cumple</t>
  </si>
  <si>
    <t>Volver</t>
  </si>
  <si>
    <t>REQUERIMIENTOS USUARIO</t>
  </si>
  <si>
    <t>Cumplidos</t>
  </si>
  <si>
    <t>No cumplidos</t>
  </si>
  <si>
    <t>Implementados</t>
  </si>
  <si>
    <t>* Requerimientos Inicio / Landing</t>
  </si>
  <si>
    <t>* Requerimientos Inicio de sesión</t>
  </si>
  <si>
    <t>* Requerimientos Registro</t>
  </si>
  <si>
    <t>* Requerimientos Panel Administrador</t>
  </si>
  <si>
    <t>* Requerimientos Información Personal</t>
  </si>
  <si>
    <t>* Requerimientos Instrumental</t>
  </si>
  <si>
    <t>* Requerimientos Materia Prima</t>
  </si>
  <si>
    <t>* Requerimientos Historial</t>
  </si>
  <si>
    <t>* Requerimientos Clientes</t>
  </si>
  <si>
    <t>* Requerimientos Facturación</t>
  </si>
  <si>
    <t>* Gestión de Usuarios y Autenticación</t>
  </si>
  <si>
    <t>* Gestión de Permisos y Menús</t>
  </si>
  <si>
    <t>REQUERIMIENTOS FUNCIONALES</t>
  </si>
  <si>
    <t>REQUERIMIENTOS NO FUNCIONALES</t>
  </si>
  <si>
    <t>SI</t>
  </si>
  <si>
    <t>Marque con una equis (X) si el sistema no cumple con la función descrita</t>
  </si>
  <si>
    <t>NO</t>
  </si>
  <si>
    <t>Marque con una equis (X) si el sistema cumple con la función descrita</t>
  </si>
  <si>
    <t>ADI</t>
  </si>
  <si>
    <t>Marque con una equis (X) si el sistema debe adicionar la función descrita</t>
  </si>
  <si>
    <t>Observaciones:</t>
  </si>
  <si>
    <t>Espacio para complementar respuestas</t>
  </si>
  <si>
    <t>P</t>
  </si>
  <si>
    <t>Nivel de cumplimiento</t>
  </si>
  <si>
    <t>OBSERVACIONES</t>
  </si>
  <si>
    <t>REQUERIMIENTOS FUNCIONALES SPECIALIZED</t>
  </si>
  <si>
    <t xml:space="preserve">Gestión de productos </t>
  </si>
  <si>
    <t>El sistema contará con un módulo de gestión de catálogo.</t>
  </si>
  <si>
    <t>x</t>
  </si>
  <si>
    <t>El sistema debe permitir actualizar la informacion de los productos disponibles.</t>
  </si>
  <si>
    <t>El sistema debe permitir eliminar los productos que ya no se deseen mostrar en el catálogo.</t>
  </si>
  <si>
    <t>Almacenamiento de instrumental disponible</t>
  </si>
  <si>
    <t xml:space="preserve"> El sistema debe mostrar en tiempo real el stock disponible de cada producto.</t>
  </si>
  <si>
    <t>El sistema debe tener alertas automáticas cuando el stock de un producto sea inferior al normal establecido.</t>
  </si>
  <si>
    <t>Control de inventario</t>
  </si>
  <si>
    <t>El sistema debe registrar salidas de productos del inventario con detalles como fecha, cantidad y motivo (por ejemplo, venta o pérdida).</t>
  </si>
  <si>
    <t>Generar reportes automáticos de inventario para análisis periódico (Como los productos que más se vendieron en un mes).</t>
  </si>
  <si>
    <t>Permitir registrar información sobre la materia prima utilizada en la fabricación de productos, como proveedores, cantidades disponibles, costos unitarios y fechas de adquisición.</t>
  </si>
  <si>
    <t>Gestión de proveedores</t>
  </si>
  <si>
    <t>Registrar información detallada de proveedores, como nombre, dirección, teléfono, correo electrónico, productos suministrados y condiciones de compra.</t>
  </si>
  <si>
    <t>Permitir eliminar proveedores a los cuales ya no se les pide materia prima, o dejaron de proveer esta misma.</t>
  </si>
  <si>
    <t>Permitir actualizar proveedores en caso que se tenga que actualizar algún dato de estos.</t>
  </si>
  <si>
    <t>Incluir funcionalidades para realizar búsquedas rápidas y filtrar por nombre o tipo de producto suministrado.</t>
  </si>
  <si>
    <t xml:space="preserve">Gestión de clientes </t>
  </si>
  <si>
    <t>Permitir almacenar información de clientes, incluyendo nombre, tipo de cliente (profesional, estudiante, etc.), dirección, teléfono y correo electrónico.</t>
  </si>
  <si>
    <t>Permitir segmentar clientes según su tipo (estudiante, profesional, etc.) para personalizar ofertas y analizar patrones de compra.</t>
  </si>
  <si>
    <t xml:space="preserve">Facturación </t>
  </si>
  <si>
    <t>Generar facturas automáticamente al confirmar una venta, incluyendo información del cliente, productos vendidos, cantidades, precios unitarios, impuestos y totales.</t>
  </si>
  <si>
    <t>El sistema debe generar automáticamente una factura en formato PDF al confirmar una venta, El PDF deberá estar disponible para visualización, descarga e impresión.</t>
  </si>
  <si>
    <t xml:space="preserve">Reportes </t>
  </si>
  <si>
    <t>Generar reportes sobre ventas, inventario, ingresos, clientes y proveedores.</t>
  </si>
  <si>
    <t>Permitir la personalización de reportes para incluir filtros por fecha, categorías de productos, etc.</t>
  </si>
  <si>
    <t xml:space="preserve">Gestión de precios </t>
  </si>
  <si>
    <t>Implementar promociones o descuentos temporales con fechas de inicio y fin.</t>
  </si>
  <si>
    <t xml:space="preserve">Gestión de devoluciones </t>
  </si>
  <si>
    <t>Registrar devoluciones de productos, especificando el motivo, la cantidad devuelta y las acciones tomadas (reemplazo, reembolso, reparación).</t>
  </si>
  <si>
    <t>Gestión de usuarios</t>
  </si>
  <si>
    <t>Permitir la creación de cuentas de usuario  (administrador o cliente).</t>
  </si>
  <si>
    <t>Implementar autenticación segura mediante contraseñas encriptadas y opciones de recuperación.</t>
  </si>
  <si>
    <t>Gestión de empleados</t>
  </si>
  <si>
    <t>Registrar información del personal, incluyendo nombre, cargo, dirección, teléfono, correo electrónico y fecha de ingreso.</t>
  </si>
  <si>
    <t>El sistema debe permitir eliminar registros de empleados que ya no estén vinculados a la empresa.</t>
  </si>
  <si>
    <t>El sistema debe permitir actualizar registros de empleados según lo necesite el usuario.</t>
  </si>
  <si>
    <t>Incluir un módulo para registrar y gestionar informes médicos del personal, asegurando la confidencialidad.</t>
  </si>
  <si>
    <t>Otros</t>
  </si>
  <si>
    <t>Implementar un sistema de búsquedas y filtros avanzados para listar materias primas y servicios ofrecidos por un proveedor específico.</t>
  </si>
  <si>
    <t>El sistema debe llevar los colores institucionales (verde, blanco y azul).</t>
  </si>
  <si>
    <t>Registrar un log de actividades críticas (ej: eliminación de productos, cambios de precios) con usuario, fecha y hora, para trazabilidad.</t>
  </si>
  <si>
    <t>Implementar interfaz en al menos 2 idiomas (español/inglés), con posibilidad de añadir más en el futuro.</t>
  </si>
  <si>
    <t xml:space="preserve"> y e</t>
  </si>
  <si>
    <t>REQUERIMIENTOS NO FUNCIONALES SPECIALIZED</t>
  </si>
  <si>
    <t>Seguridad</t>
  </si>
  <si>
    <t>Proteger los datos de clientes, empleados y proveedores mediante algoritmos de encriptación.</t>
  </si>
  <si>
    <t>Encriptación de la contraseña del usuario del sistema.</t>
  </si>
  <si>
    <t>Implementar medidas contra ataques como SQL Injection.</t>
  </si>
  <si>
    <t>Si un usuario falla 3 veces al ingresar su contraseña, su cuenta se bloquea temporalmente.</t>
  </si>
  <si>
    <t>Accesos restringidos: Solo los jefes o administradores pueden ver informes médicos de empleados.</t>
  </si>
  <si>
    <t>Desempeño</t>
  </si>
  <si>
    <t>El tiempo de respuesta del sistema debe ser inferior a 3 segundos en operaciones comunes como la realización de búsquedas.</t>
  </si>
  <si>
    <t>Reportes rápidos: Generar un reporte de ventas mensual no debe tardar más de 10 segundos.</t>
  </si>
  <si>
    <t>Escalabilidad</t>
  </si>
  <si>
    <t>El sistema debe ser capaz de manejar un aumento en el número de usuarios.</t>
  </si>
  <si>
    <t>El sistema debe ser capaz de manejar un aumento en el número de productos sin afectar el rendimiento.</t>
  </si>
  <si>
    <t>El sistema debe ser capaz de manejar un aumento en el número de transacciones sin afectar el rendimiento.</t>
  </si>
  <si>
    <t>Usabilidad</t>
  </si>
  <si>
    <t>La interfaz del sistema debe ser intuitiva.</t>
  </si>
  <si>
    <t>La interfaz del sistema debe ser fácil de usar.</t>
  </si>
  <si>
    <t>Compatibilidad</t>
  </si>
  <si>
    <t xml:space="preserve">El sistema debe ser compatible con los principales navegadores web (Chrome, Firefox, Edge, Safari). 
</t>
  </si>
  <si>
    <t>Debe ser accesible desde dispositivos móviles, tabletas y computadoras de escritorio.</t>
  </si>
  <si>
    <t>Realizar copias de seguridad automáticas diariamente y permitir restauración rápida en caso de fallas.</t>
  </si>
  <si>
    <t>Mantenimiento</t>
  </si>
  <si>
    <t>Restaurar información: Si se pierden datos, poder recuperarlos desde la última copia de seguridad.</t>
  </si>
  <si>
    <t>El sistema debe mostrar mensajes claros cuando hay errores (ej: "No se pudo guardar. Revise su conexión a internet").</t>
  </si>
  <si>
    <t>Leyes de privacidad: Cumplir con normas de protección de datos (ej: no compartir información de clientes sin permiso).</t>
  </si>
  <si>
    <t>El sistema debe poder imprimir facturas o reportes sin configurar nada extra.</t>
  </si>
  <si>
    <t>Logo visible: Mostrar el logo de la empresa en todas las pantallas importantes (facturas, reportes).</t>
  </si>
  <si>
    <t>REQUERIMIENTOS GENERALES FUNCIONALES DE LA PÁGINA WEB - LANDING</t>
  </si>
  <si>
    <t xml:space="preserve"> Mostrar menú superior con opciones de navegación</t>
  </si>
  <si>
    <t>Mostrar botón "Ingresar" en esquina superior derecha</t>
  </si>
  <si>
    <t>Búsqueda Dinámica: Filtrado de productos en tiempo real al ingresar caracteres (ej: "li").</t>
  </si>
  <si>
    <t>Auto-cierre de Secciones: Al limpiar la búsqueda, las secciones desplegadas deben cerrarse solas.</t>
  </si>
  <si>
    <t>Controlador de Limpieza: Botón dedicado para resetear el campo de búsqueda de forma instantánea.</t>
  </si>
  <si>
    <t>Navegación por Tabs: Selección de categorías mediante botones de menú superior.</t>
  </si>
  <si>
    <t>Gestión de Cookies: Desplegar modal informativo antes de permitir el acceso al Login.</t>
  </si>
  <si>
    <t>Lógica de Redirección: El sistema debe redirigir al login tras interactuar con el modal de cookies.</t>
  </si>
  <si>
    <t>Visualización de Kits: Listado de instrumentos agrupados por especialidad dental.</t>
  </si>
  <si>
    <t>Botón "Ingresar": Enlace funcional hacia el módulo de autenticación.</t>
  </si>
  <si>
    <t>Visualización de Imágenes de Kits: Mostrar fotografías reales de los productos en el hover.</t>
  </si>
  <si>
    <t>Mostrar información de contacto (teléfono, dirección).</t>
  </si>
  <si>
    <t>Mostrar footer con derechos de autor.</t>
  </si>
  <si>
    <t>Mostrar enlaces a redes sociales en footer.</t>
  </si>
  <si>
    <t>Mostrar mensaje de bienvenida al usuario.</t>
  </si>
  <si>
    <t>Carrusel de productos destacados.</t>
  </si>
  <si>
    <t xml:space="preserve"> Barra de búsqueda en header.</t>
  </si>
  <si>
    <t>Enlace directo a WhatsApp de ventas.</t>
  </si>
  <si>
    <t>Etiqueta "Nuevo" en productos recientes.</t>
  </si>
  <si>
    <t>Botón "Volver arriba" en scroll.</t>
  </si>
  <si>
    <t>Por el momento la página no tiene movimientos scroll</t>
  </si>
  <si>
    <t>Vista rápida de productos.</t>
  </si>
  <si>
    <t xml:space="preserve"> Sección de noticias o blog.</t>
  </si>
  <si>
    <t>Filtro por tipo de material (acero/liviano).</t>
  </si>
  <si>
    <t>Filtro por especialización dental.</t>
  </si>
  <si>
    <t>Descarga de catálogo en PDF.</t>
  </si>
  <si>
    <t>Vista de productos agotados.</t>
  </si>
  <si>
    <t>Estado de Carga: Mostrar nombres de productos y descripciones base incluso si la imagen falla.</t>
  </si>
  <si>
    <t>REQUERIMIENTOS GENERALES NO FUNCIONALES DE LA PÁGINA WEB - LANDING</t>
  </si>
  <si>
    <t>Página carga en menos de 5 segundos.</t>
  </si>
  <si>
    <t>Navegación con teclado posible</t>
  </si>
  <si>
    <t>Colores verde, blanco y azul corporativos.</t>
  </si>
  <si>
    <t>Seguridad básica contra hackers</t>
  </si>
  <si>
    <t>Textos legibles y tamaño adecuado.</t>
  </si>
  <si>
    <t>Contraseñas encriptadas en base de datos</t>
  </si>
  <si>
    <t>Mostrar header con logo de la empresa.</t>
  </si>
  <si>
    <t>Identidad Corporativa: Header con degradado lineal (linear-gradient) verde y azul.</t>
  </si>
  <si>
    <t>Cambio de color de fondo y texto al pasar el mouse por los menús.</t>
  </si>
  <si>
    <t>Efecto de Elevación: Las cartas de producto deben subir (translateY) al pasar el mouse.</t>
  </si>
  <si>
    <t>Sombreado Dinámico: Aparición de sombras (box-shadow) profundas en elementos activos.</t>
  </si>
  <si>
    <t>Transiciones Suaves: Los efectos visuales deben durar 0.3s para mejorar la fluidez (UX).</t>
  </si>
  <si>
    <t>Cambio de brillo/oscuridad en el botón "Ingresar" al interactuar.</t>
  </si>
  <si>
    <t>Adaptabilidad (Responsive): Uso de Media Queries para que la web funcione en móviles.</t>
  </si>
  <si>
    <t>Arquitectura Limpia: Separación total de estilos (CSS) y estructura (HTML). Archivos independientes.</t>
  </si>
  <si>
    <t>Iconografía Estándar: Integración con FontAwesome para íconos del sistema.</t>
  </si>
  <si>
    <t>iconos extraidos de otra web</t>
  </si>
  <si>
    <t>Interfaz Intuitiva: Barra de búsqueda centrada y de fácil acceso visual.</t>
  </si>
  <si>
    <t>Iconografía Específica: Ícono de "escoba" para la limpieza de búsqueda.</t>
  </si>
  <si>
    <t>Imágenes no pixeladas.</t>
  </si>
  <si>
    <t>Formularios con validación básica.</t>
  </si>
  <si>
    <t>Links funcionan correctamente.</t>
  </si>
  <si>
    <t>Página no se cae con muchos usuarios.</t>
  </si>
  <si>
    <t>Datos de clientes protegidos</t>
  </si>
  <si>
    <t>Funciona en Edge y Safari también.</t>
  </si>
  <si>
    <t>Cambio de cursor a 'pointer' en botones y cartas.</t>
  </si>
  <si>
    <t>Suavizado de bordes: Interfaz con esquinas redondeadas para estética moderna.</t>
  </si>
  <si>
    <t>Optimización de carga: Scripts ubicados al final del body para mayor velocidad.</t>
  </si>
  <si>
    <t>Jerarquía visual: Títulos destacados con colores institucionales.</t>
  </si>
  <si>
    <t xml:space="preserve"> Imágenes optimizadas para web.</t>
  </si>
  <si>
    <t>Formularios con mensajes de error claros.</t>
  </si>
  <si>
    <t>Compatible con lectores de pantalla.</t>
  </si>
  <si>
    <t>Cumplimiento ley de protección de datos.</t>
  </si>
  <si>
    <t>Escalable para más productos.</t>
  </si>
  <si>
    <t>Fácil de actualizar contenido.</t>
  </si>
  <si>
    <t>No requiere software especial.</t>
  </si>
  <si>
    <t>REQUERIMIENTOS FUNCIONALES DEL INICIO DE SESIÓN</t>
  </si>
  <si>
    <t>Mostrar formulario con campos "Usuario" y "Contraseña".</t>
  </si>
  <si>
    <t>Logo corporativo visible en pantalla de login.</t>
  </si>
  <si>
    <t>Campo contraseña con ocultación de caracteres.</t>
  </si>
  <si>
    <t>El sistema debe mostrar el panel de inicio de sesión.</t>
  </si>
  <si>
    <t>Botón "INICIAR SESIÓN" que envía datos al servidor.</t>
  </si>
  <si>
    <t>Enlace "¿Olvidaste tu contraseña?" funcional.</t>
  </si>
  <si>
    <t>Si el usuario ingreso la información correctamente, al hacer clic en “iniciar sesión” el sistema debe redirigir al usuario a la página principal del sistema.</t>
  </si>
  <si>
    <t xml:space="preserve">Si el usuario no ingreso la información correctamente, el sistema debe mostrar un cuadro de texto que indique que ingresó mal la contraseña o el usuario y debe reingresar los datos correctamente. </t>
  </si>
  <si>
    <t>El sistema debe mostrar el mensaje "Completa este campo" si se intenta enviar el formulario vacío.</t>
  </si>
  <si>
    <t>Cambio fluido entre la vista de Login y Registro mediante manipulación de clases CSS.</t>
  </si>
  <si>
    <t>Al hacer clic en “Registrarse” el sistema debe redirigir al usuario a la sección de registro.</t>
  </si>
  <si>
    <t>Cierre de sesión automático tras 30 minutos inactivo.</t>
  </si>
  <si>
    <t>Limpieza de caché del formulario al recargar.</t>
  </si>
  <si>
    <t>Título descriptivo "Iniciar Sesión" visible.</t>
  </si>
  <si>
    <t>Separador visual entre formulario y sección de registro.</t>
  </si>
  <si>
    <t>Mostrar/ocultar contraseña con ícono de ojo.</t>
  </si>
  <si>
    <t>Idioma seleccionable (ES/EN) en esquina superior.</t>
  </si>
  <si>
    <t>Validación de tiempo de sesión máxima configurable.</t>
  </si>
  <si>
    <t>Pantalla de términos y condiciones obligatoria en primer login.</t>
  </si>
  <si>
    <t>Pantalla de bienvenida personalizada tras login (con nombre).</t>
  </si>
  <si>
    <t>El sistema debe limpiar el historial de navegación para evitar que se pueda volver atrás tras cerrar sesión.</t>
  </si>
  <si>
    <t>REQUERIMIENTOS NO FUNCIONALES DEL INICIO DE SESIÓN</t>
  </si>
  <si>
    <t>Tiempo de respuesta &lt; 2 segundos para validación de credenciales.</t>
  </si>
  <si>
    <t>Protección contra fuerza bruta con límite de intentos.</t>
  </si>
  <si>
    <t>Consistencia visual con paleta corporativa (verde, azul, blanco).</t>
  </si>
  <si>
    <t>Logs de auditoría de intentos de login (éxito/fracaso).</t>
  </si>
  <si>
    <t>Validación de entrada contra SQL Injection.</t>
  </si>
  <si>
    <t>Manejo de errores sin mostrar detalles técnicos al usuario.</t>
  </si>
  <si>
    <t>Carga inicial &lt; 3 segundos en conexión de 10 Mbps.</t>
  </si>
  <si>
    <t>Compatibilidad con lectores de pantalla básica.</t>
  </si>
  <si>
    <t>Soporte para teclado (navegación completa sin mouse).</t>
  </si>
  <si>
    <t>Backend en PHP 7.4+ con buenas prácticas de codificación.</t>
  </si>
  <si>
    <t>Base de datos normalizada con índices para búsquedas de usuarios.</t>
  </si>
  <si>
    <t>Mensajes de error en español claro y amigable.</t>
  </si>
  <si>
    <t>No almacena contraseñas en texto plano ni logs.</t>
  </si>
  <si>
    <t>Doble validación del token de sesión (server-side + client-side).</t>
  </si>
  <si>
    <t>Los títulos y mensajes motivacionales deben cambiar de color suavemente al pasar el mouse.</t>
  </si>
  <si>
    <t>Uso de fuentes diferenciadas (Montserrat para títulos, Arial para cuerpo) para mejorar la lectura.</t>
  </si>
  <si>
    <t>Los bordes de los campos deben resaltar en azul y expandirse al ser seleccionados por el usuario.</t>
  </si>
  <si>
    <t>Los títulos (h1) deben cambiar de color suavemente al pasar el puntero sobre ellos.</t>
  </si>
  <si>
    <t>Separación total de la lógica de autenticación (JS) y los estilos visuales (CSS) en archivos externos.</t>
  </si>
  <si>
    <t>Los scripts de lógica deben cargarse al final del body para no retrasar la visualización del formulario.</t>
  </si>
  <si>
    <t>REQUERIMIENTOS FUNCIONALES DE LA PÁGINA WEB</t>
  </si>
  <si>
    <t>Mostrar formulario de registro con campos: "Usuario", "Correo electrónico", "Contraseña", "Teléfono".</t>
  </si>
  <si>
    <t>Botón "REGISTRARSE" que envía datos al servidor.</t>
  </si>
  <si>
    <t>Mensaje de éxito "Registro completado" tras envío exitoso.</t>
  </si>
  <si>
    <t>Validación en tiempo real de campos obligatorios.</t>
  </si>
  <si>
    <t>Redirección automática a login tras registro exitoso.</t>
  </si>
  <si>
    <t>Validación de formato de correo electrónico (con @ y dominio).</t>
  </si>
  <si>
    <t>Verificación de que correo no esté ya registrado.</t>
  </si>
  <si>
    <t>Mínimo 8 caracteres para contraseña.</t>
  </si>
  <si>
    <t>Mensaje de error específico por campo (ej: "Correo ya registrado").</t>
  </si>
  <si>
    <t>Campos marcados con asterisco (*) para indicar obligatoriedad.</t>
  </si>
  <si>
    <t>Logo corporativo visible en pantalla de registro.</t>
  </si>
  <si>
    <t>Campos con etiquetas claras en español.</t>
  </si>
  <si>
    <t>Validación contra inyección SQL en todos los campos.</t>
  </si>
  <si>
    <t>Bloqueo de envíos múltiples (prevenir doble clic en botón).</t>
  </si>
  <si>
    <t>Compatibilidad con navegación por teclado (Tab).</t>
  </si>
  <si>
    <t>Campo de contraseña con máscara de caracteres por defecto.</t>
  </si>
  <si>
    <t>Mostrar/ocultar contraseña con ícono de ojo en ambos campos.</t>
  </si>
  <si>
    <t>Validación de fortaleza de contraseña (mínimo 1 mayúscula, 1 número).</t>
  </si>
  <si>
    <t>Checkbox "Acepto términos y condiciones" obligatorio.</t>
  </si>
  <si>
    <t>El campo de contraseña debe restringir el ingreso a menos de 8 caracteres.</t>
  </si>
  <si>
    <t>Al finalizar el registro el sistema debe mostrar un cuadro de texto que indique que el registro fue completado con éxito.</t>
  </si>
  <si>
    <t>El sistema debe eliminar espacios en blanco accidentales en usuario y correo antes de procesarlos (Trim).</t>
  </si>
  <si>
    <t>El sistema debe filtrar y eliminar cualquier carácter no numérico del campo teléfono.</t>
  </si>
  <si>
    <t>El sistema debe asegurar que si falla la asignación de permisos, el usuario no se cree (Rollback si algo sale mal).</t>
  </si>
  <si>
    <t>El sistema debe vincular al nuevo usuario con el menú de "Cliente" por defecto</t>
  </si>
  <si>
    <t>Mostrar requisitos de formato (ej: "mínimo 3 caracteres") al enfocar los campos de entrada.</t>
  </si>
  <si>
    <t>Restringir el registro si el nombre de usuario tiene menos de 3 caracteres.</t>
  </si>
  <si>
    <t>Diseño responsivo para móviles (probado en 320px+)</t>
  </si>
  <si>
    <t>REQUERIMIENTOS NO FUNCIONALES DE LA PÁGINA WEB</t>
  </si>
  <si>
    <t>Tiempo de respuesta &lt; 3 segundos para procesar registro.</t>
  </si>
  <si>
    <t>Almacenamiento seguro de contraseñas con hash.</t>
  </si>
  <si>
    <t>Validación server-side además de client-side.</t>
  </si>
  <si>
    <t>PHP valida longitud, formato de email y duplicados.</t>
  </si>
  <si>
    <t>Contraste de colores adecuado para lectura.</t>
  </si>
  <si>
    <t>Logs de nuevos registros con fecha y hora.</t>
  </si>
  <si>
    <t>Protección contra spam con límite de registros por IP.</t>
  </si>
  <si>
    <t>Base de datos PostgreSQL con índices para búsqueda rápida</t>
  </si>
  <si>
    <t>Validación de entradas contra XSS y SQL injection.</t>
  </si>
  <si>
    <t>Las sentencias preparadas del PHP lo cubren.</t>
  </si>
  <si>
    <t>Cookies seguras para sesión post-registro.</t>
  </si>
  <si>
    <t>Backend PHP 7.4+ con prácticas básicas de seguridad.</t>
  </si>
  <si>
    <t>Pruebas manuales realizadas en formulario de registro</t>
  </si>
  <si>
    <t>Manejo de excepciones básico (no muestra errores técnicos).</t>
  </si>
  <si>
    <t>Consistencia visual con resto del sistema.</t>
  </si>
  <si>
    <t>Espaciado adecuado entre elementos del formulario.</t>
  </si>
  <si>
    <t>Sistema de alertas por registro sospechoso (muchos intentos).</t>
  </si>
  <si>
    <t>Soporte para nombres largos (hasta 50 caracteres sin truncar).</t>
  </si>
  <si>
    <t>Bloquear la carga de la página de registro en marcos o iframes externos.</t>
  </si>
  <si>
    <t>X-Frame-Options: DENY</t>
  </si>
  <si>
    <t>No enviar información del sitio de origen al navegar a enlaces externos.</t>
  </si>
  <si>
    <t>Impedir que los datos sensibles del formulario se almacenen en el caché del navegador.</t>
  </si>
  <si>
    <t>Cache-Control: no-store</t>
  </si>
  <si>
    <t>El backend debe exigir tipos de datos exactos para minimizar errores de lógica.</t>
  </si>
  <si>
    <t>La lógica de acceso a la base de datos debe residir en un archivo independiente y protegido.</t>
  </si>
  <si>
    <t>El sistema no debe mostrar este icono si el usuario no ha iniciado sesión.</t>
  </si>
  <si>
    <t>REQUERIMIENTOS FUNCIONALES DEL PANEL ADMINISTRADOR DE LA PÁGINA WEB</t>
  </si>
  <si>
    <t>Al entrar se carga un dashboard centralizado con métricas clave de la plataforma.</t>
  </si>
  <si>
    <t>Saludo dinámico y personalizado con el nombre del usuario en sesión.</t>
  </si>
  <si>
    <t>Tarjetas de métrica (Total Usuarios, Nuevos este mes, Empleados, Clientes, Proveedores, Productos en inventario, mayor venta, Menor producto en stock) conectadas a la base de datos.</t>
  </si>
  <si>
    <t>Renderizado de Grillas de Datos: El cuerpo del modal debe visualizar una lista detallada con los campos técnicos correspondientes (ID, Nombre, Contacto, Estado, etc.) consultados en tiempo real desde la DB.</t>
  </si>
  <si>
    <t>Estandarización de Modales de Inserción: Al presionar "Nuevo" en cualquier modal de gestión, el sistema debe desplegar un formulario dinámico con los campos obligatorios correspondientes al módulo.</t>
  </si>
  <si>
    <t>El sistema debe restringir automáticamente la visibilidad del botón "Nuevo" en el modal de la tarjeta "Nuevos este mes", permitiendo únicamente funciones de consulta y desplegar una lista con los usuarios registrados en el mes actual con los campos (ID, Usuario, Email, Teléfono, Fecha Registro, Acciones).</t>
  </si>
  <si>
    <t>Gestión de Cierre y Navegación: El modal debe contar con un botón "Cerrar" en la parte inferior y una "X" en la esquina superior derecha que finalice la instancia del objeto modal y retorne el foco a la vista general del Panel de Administración.</t>
  </si>
  <si>
    <t>Validación Universal de Entradas: Todos los campos de entrada de datos en los modales deben contar con validaciones de tipo de dato, longitud mínima/máxima y obligatoriedad antes de ser enviados.</t>
  </si>
  <si>
    <t>Manejo de Errores desde la Base de Datos: El sistema debe capturar las excepciones lanzadas por PostgreSQL (ej. Violación de unicidad) y mostrar un mensaje claro al administrador sin interrumpir el flujo.</t>
  </si>
  <si>
    <t>Lógica de Borrado Lógico (Soft Delete): La eliminación de cualquier registro desde el panel administrativo debe realizarse mediante la actualización del campo ind_vivo a FALSE, manteniendo la integridad referencial.</t>
  </si>
  <si>
    <t>Trazabilidad de Eliminación: Todo proceso de borrado lógico debe registrar automáticamente el usuario que realizó la acción y la fecha/hora exacta en los campos user_delete y fec_delete.</t>
  </si>
  <si>
    <t>Tras una actualización exitosa el sistema debe desplegar un modal diciendo que el registro fue guardado correctamente, al dar aceptar todos los modales se deben cerrar volviendo a dejar visible el dashboard principal.</t>
  </si>
  <si>
    <t>Confirmación de Acciones Críticas: Antes de ejecutar un borrado o una actualización masiva, el sistema debe solicitar una confirmación visual al usuario para prevenir errores accidentales.</t>
  </si>
  <si>
    <t>Integración de Búsqueda en Listados: Todo modal que visualice una lista (Usuarios, Clientes, etc.) debe integrar un campo de filtrado por nombre o ID para localización rápida de registros.</t>
  </si>
  <si>
    <t>Reporte de Nuevos Registros: Filtrar y mostrar automáticamente los usuarios registrados cuya fecha de inserción corresponda al mes calendario actual.</t>
  </si>
  <si>
    <t>Gestión Centralizada de Empleados: Visualizar y gestionar datos técnicos del personal (Cargos, ID de documento, Estado contractual) mediante el modal de Empleados.</t>
  </si>
  <si>
    <t>Consolidado de Gestión de Clientes: Desplegar el listado de clientes profesionales y estudiantes con su respectiva información de contacto y ubicación.</t>
  </si>
  <si>
    <t>Sincronización con el Controlador de Datos: Todas las tarjetas del dashboard deben consumir los datos procesados por el dashboard_controller.php.</t>
  </si>
  <si>
    <t>En el campo "Acciones" de las tarjetas deben haber dos botones funcionales para "Editar" y "Eliminar".</t>
  </si>
  <si>
    <t>Visualización de "Total Ventas" con montos acumulados de la DB en la esquina inferior derecha.</t>
  </si>
  <si>
    <t>Reporte rápido de "Ventas Diarias" en la sección de analítica en la esquina inferior derecha.</t>
  </si>
  <si>
    <t>Botón "Instrumental" redirecciona a la gestión de productos y kits.</t>
  </si>
  <si>
    <t>Botón "Materia Prima" redirecciona a la gestión de la materia prima.</t>
  </si>
  <si>
    <t>Botón "Historial" redirecciona a la gestión de historiales de la empresa.</t>
  </si>
  <si>
    <t>El sistema debe mostrar un menú lateral derecho (panel de configuración) que contenga de forma visible las opciones: "Modificar Perfil", "Cambiar Contraseña", "Configuración", "Exportar Datos", "Ayuda y Soporte" y "Cerrar Sesión".</t>
  </si>
  <si>
    <t>agregar otras opciones detalladamente</t>
  </si>
  <si>
    <t>Al accionar la opción "Modificar Perfil" desde el menú, el sistema debe desplegar un modal con los campos (Nombre de usuario, Email, Teléfono, Rol), permitiendo al administrador editar su información, guardar cambios con mensaje de éxito o cancelar la operación retornando al dashboard.</t>
  </si>
  <si>
    <t>Al accionar la opción "Cambiar Contraseña" desde el menú, el sistema debe desplegar un modal con los campos (Contraseña Actual, Nueva, Confirmación), validando la coincidencia de datos y confirmando el cambio exitoso mediante un mensaje emergente.</t>
  </si>
  <si>
    <t>Opción "Configuración" accesible desde el panel.</t>
  </si>
  <si>
    <t>Al presionar "Cerrar Sesión", el sistema debe destruir la sesión actual del servidor y redirigir al Index de forma inmediata.</t>
  </si>
  <si>
    <t>Control de acceso por rol (Solo administradores ven este panel).</t>
  </si>
  <si>
    <t>Capacidad de colapsar los menus laterales para ganar área de trabajo.</t>
  </si>
  <si>
    <t>Carga asíncrona de estadísticas para no bloquear la interfaz.</t>
  </si>
  <si>
    <t>Botón de ayuda y soporte técnico directo para el administrador.</t>
  </si>
  <si>
    <t>El dashboard debe refrescar las cifras de las tarjetas cada vez que se detecte un cambio exitoso en la base de datos.</t>
  </si>
  <si>
    <t>Si un listado supera los 20 registros, el modal debe implementar una barra de desplazamiento (scroll) o paginación interna.</t>
  </si>
  <si>
    <t>Capacidad de visualizar registros marcados como inactivos y permitir su reactivación (cambio de ind_vivo).</t>
  </si>
  <si>
    <t>Notificaciones de Éxito: Tras cada acción de "Guardar Cambios" o "Nuevo", mostrar un aviso flotante (Toast) confirmando la operación.</t>
  </si>
  <si>
    <t>Las listas en los modales deben mostrar una miniatura del producto o usuario si el registro cuenta con img_url.</t>
  </si>
  <si>
    <t>Los modales de inserción deben mostrar mensajes de ayuda indicando el formato correcto (ej: "Solo números" en teléfono).</t>
  </si>
  <si>
    <t>REQUERIMIENTOS NO FUNCIONALES DEL PANEL ADMINISTRADOR</t>
  </si>
  <si>
    <t>Efecto de elevación (floating effect) en tarjetas de métricas.</t>
  </si>
  <si>
    <t>Sombreado dinámico (box-shadow) al interactuar con elementos.</t>
  </si>
  <si>
    <t>Cambio de color suave en botones y opciones al pasar el mouse.</t>
  </si>
  <si>
    <t>Consistencia visual con paleta corporativa (Verde #087d4e / Azul #36498f).</t>
  </si>
  <si>
    <t>Transiciones fluidas de 0.3s en todos los efectos de hover.</t>
  </si>
  <si>
    <t>Diseño responsivo basado en Grid que se adapta a tablets.</t>
  </si>
  <si>
    <t>Sanitización de salida mediante htmlspecialchars() para prevenir XSS.</t>
  </si>
  <si>
    <t>Arquitectura modular con separación de Header, Sidebar y Footer.</t>
  </si>
  <si>
    <t>Cursor tipo 'pointer' habilitado en todas las tarjetas clicables.</t>
  </si>
  <si>
    <t>Iconografía estandarizada de FontAwesome para cada función.</t>
  </si>
  <si>
    <t>Tipografía profesional 'Montserrat' para títulos y 'Arial' para datos.</t>
  </si>
  <si>
    <t>Tiempo de carga inicial del dashboard inferior a 2 segundos.</t>
  </si>
  <si>
    <t>Contraste de color alto entre cifras numéricas y fondo de tarjetas.</t>
  </si>
  <si>
    <t>Código backend con tipado estricto (strict_types=1).</t>
  </si>
  <si>
    <t>Estilos CSS organizados en archivos externos independientes.</t>
  </si>
  <si>
    <t>Protección contra ataques de Clickjacking en el panel.</t>
  </si>
  <si>
    <t>Navegación intuitiva que no requiere curva de aprendizaje.</t>
  </si>
  <si>
    <t>Mensajes de error amigables sin exponer variables de sistema.</t>
  </si>
  <si>
    <t>Uso de variables CSS para consistencia de colores globales.</t>
  </si>
  <si>
    <t>Optimización de scripts JS al final del documento.</t>
  </si>
  <si>
    <t>Diseño de botones con bordes redondeados (15px) para estética moderna.</t>
  </si>
  <si>
    <t>Visualización limpia de tablas de datos sin saturación visual.</t>
  </si>
  <si>
    <t>El sistema debe resaltar el borde de las opciones del menú izquierdo en color blanco al detectar el evento hover.</t>
  </si>
  <si>
    <t>Las opciones del menú izquierdo deben incrementar su tamaño relativo respecto a los elementos adyacentes al pasar el mouse.</t>
  </si>
  <si>
    <t>El comportamiento de resaltado y escalado debe ser consistente tanto en el menú lateral izquierdo como en el derecho.</t>
  </si>
  <si>
    <t>La opción de menú seleccionada debe mantener un distintivo visual permanente mientras el administrador esté en ese módulo.</t>
  </si>
  <si>
    <t>El agrandamiento de los botones no debe desplazar o desordenar los elementos de contenido central del Dashboard.</t>
  </si>
  <si>
    <t>Todos los modales deben compartir el mismo estilo de bordes redondeados y tipografía.</t>
  </si>
  <si>
    <t>Los inputs deben limpiarse automáticamente al cerrar el modal "Nuevo".</t>
  </si>
  <si>
    <t>Los botones de "Guardar" y "Cancelar" deben tener el mismo tamaño y alineación en todo el panel.</t>
  </si>
  <si>
    <t>Los scripts de los modales deben estar en archivos independientes.</t>
  </si>
  <si>
    <t>El ancho de los modales debe ajustarse automáticamente al tamaño de la pantalla.</t>
  </si>
  <si>
    <t>Los cuadros de texto de éxito deben desaparecer automáticamente tras 5 segundos.</t>
  </si>
  <si>
    <t>REQUERIMIENTOS FUNCIONALES DE INSTRUMENTAL DENTRO DE LA PÁGINA WEB</t>
  </si>
  <si>
    <t>El sistema debe mostrar el botón "Volver al Inicio" que redirecciona al dashboard principal.</t>
  </si>
  <si>
    <t>Al dar click en la tarjeta "Instrumentos" el sistema debe abrir la gestión de instrumentos.</t>
  </si>
  <si>
    <t>Al entrar a una tarjeta, en la esquina superior izquierda debe estar el botón "Volver a Selección" que al interactuar con el, debe redirigir a la pestaña anterior con las tarjetas "Instrumentos" y "Kits".</t>
  </si>
  <si>
    <t>El sistema debe mostrar barras de búsqueda funcionales para facilitar la búsqueda en cada tarjeta.</t>
  </si>
  <si>
    <t>Las barras de búsqueda deben ser predictivas.</t>
  </si>
  <si>
    <t>El sistema debe limpiar los filtros de búsqueda automáticamente al navegar entre la gestión de Instrumentos y la gestión de Kits.</t>
  </si>
  <si>
    <t>Al extremo derecho de las barras de búsqueda debe estar el botón "Agregar Nuevo".</t>
  </si>
  <si>
    <t>agregar campo para img</t>
  </si>
  <si>
    <t>El modal de "Nuevo Registro" debe contar con los botones "Cancelar" que regresa al listado de instrumentos/kits y "Guardar" que registra los cambios realizados.</t>
  </si>
  <si>
    <t>quitar id</t>
  </si>
  <si>
    <t>Al dar click en la tarjeta "Kits" el sistema debe abrir la gestión de kits.</t>
  </si>
  <si>
    <t>Al activar la gestión de Kits, el sistema debe ocultar completamente el contenedor de Instrumentos para evitar colisiones de ID en el DOM.</t>
  </si>
  <si>
    <t>Al activar la gestión de Instrumentos, el sistema debe ocultar completamente el contenedor de Kits para evitar colisiones de ID en el DOM.</t>
  </si>
  <si>
    <t>El sistema debe permitir ver cuántos instrumentos individuales conforman un Kit antes de proceder a su edición.</t>
  </si>
  <si>
    <t>El sistema debe gestionar dos tipos de ítems internos: "Instrumentos" (Piezas sueltas) y "Kits" (Conjuntos), los cuales NO son visibles directamente en la Landing Page.</t>
  </si>
  <si>
    <t>El sistema debe permitir crear "Productos Comerciales" en la tabla tab_productos, vinculándolos a un Instrumento o a un Kit existente.</t>
  </si>
  <si>
    <t>La Landing Page (Página Web) debe mostrar únicamente los productos que tengan el estado "Visible" activo.</t>
  </si>
  <si>
    <t>El precio mostrado en la Landing Page debe ser el precio de venta público definido en tab_productos.</t>
  </si>
  <si>
    <t>El catálogo de la Landing Page debe ser de "Solo lectura" (Modo vitrina), sin carrito de compras ni pasarela de pagos.</t>
  </si>
  <si>
    <t>Al hacer clic en un producto en la Landing Page, se debe mostrar su detalle, foto y un botón de "Contactar Asesor" (WhatsApp).</t>
  </si>
  <si>
    <t>El sistema administrativo debe permitir subir una foto referencial para cada "Producto Comercial".</t>
  </si>
  <si>
    <t>Si el stock físico de un Instrumento o Kit llega a cero, el "Producto Comercial" asociado debe mostrarse automáticamente como "Agotado" en la Landing Page (o ocultarse, según preferencia).</t>
  </si>
  <si>
    <t>El Administrador debe poder editar el "Nombre Comercial" y "Descripción" del producto para la web, que puede ser diferente al nombre técnico del inventario.</t>
  </si>
  <si>
    <t>REQUERIMIENTOS FUNCIONALES DE INSTRUMENTAL DENTRO DE LA BASE DE DATOS</t>
  </si>
  <si>
    <t>El sistema debe permitir gestionar productos terminados clasificándolos como "Instrumentos" o "Kits".</t>
  </si>
  <si>
    <t>La función de gestión de productos debe impedir que un producto sea Instrumento y Kit simultáneamente.</t>
  </si>
  <si>
    <t>El sistema debe validar que el nombre del producto comercial no esté vacío.</t>
  </si>
  <si>
    <t>Al crear un producto, el sistema debe verificar que la referencia de inventario (ID Instrumento o ID Kit) exista y esté activa.</t>
  </si>
  <si>
    <t>revisar</t>
  </si>
  <si>
    <t>El sistema debe permitir actualizar el precio de venta público de los productos del catálogo.</t>
  </si>
  <si>
    <t>El sistema debe permitir la eliminación lógica de productos del catálogo para que no aparezcan en ventas.</t>
  </si>
  <si>
    <t>La base de datos debe permitir asociar una imagen (URL) a cada ítem del catálogo.</t>
  </si>
  <si>
    <t>El sistema debe validar que el precio del producto sea mayor o igual a cero.</t>
  </si>
  <si>
    <t>La consulta de catálogo debe permitir filtrar por tipo de producto (Instrumento/Kit).</t>
  </si>
  <si>
    <t>El sistema debe mostrar la disponibilidad (Stock) real calculada desde las tablas de inventario.</t>
  </si>
  <si>
    <t>REQUERIMIENTOS NO FUNCIONALES DE INSTRUMENTAL DENTRO DE LA PÁGINA WEB</t>
  </si>
  <si>
    <t>Al entrar a la sección "Instrumental" los demás menus deben inhabilitarse de tal forma que no se pueda acceder a ellos por el menú lateral izquierdo.</t>
  </si>
  <si>
    <t>El botón del módulo activo ("Instrumental") debe incrementar su luminosidad y escala para diferenciarse de los módulos inactivos.</t>
  </si>
  <si>
    <t>Los elementos de navegación no permitidos deben presentar una opacidad reducida (0.5 o menor) como indicador de deshabilitación.</t>
  </si>
  <si>
    <t>Las opciones de menú deben mostrar un borde blanco definido y agrandar su tamaño relativo al detectar el cursor.</t>
  </si>
  <si>
    <t>Implementación de translateY negativo y aumento de box-shadow al pasar el mouse sobre las tarjetas de instrumentos o kits.</t>
  </si>
  <si>
    <t>Aparición de una barra azul en la parte inferior de la tarjeta "Instrumentos" al activarse el evento hover.</t>
  </si>
  <si>
    <t>Aparición de una barra verde en la parte inferior de la tarjeta "Kits" al activarse el evento hover.</t>
  </si>
  <si>
    <t>Todas las animaciones de escala y color deben tener una transición de 0.3s con curva ease.</t>
  </si>
  <si>
    <t>Uso prioritario de la fuente 'Segoe UI' o 'Montserrat' para garantizar la legibilidad de las descripciones técnicas.</t>
  </si>
  <si>
    <t>Uso unificado de border-radius (entre 10px y 25px) en todos los componentes interactivos para una estética moderna.</t>
  </si>
  <si>
    <t>Separación total de la hoja de estilos (estilos_menuPrincipal.css) de la estructura HTML y la lógica PHP.</t>
  </si>
  <si>
    <t>Uso de htmlspecialchars para prevenir ataques XSS al mostrar nombres de instrumentos.</t>
  </si>
  <si>
    <t>??</t>
  </si>
  <si>
    <t>Integración de FontAwesome mediante CDN para asegurar que los glifos no retrasen el renderizado visual.</t>
  </si>
  <si>
    <t>Los mensajes de alerta o validación deben presentarse en modales con diseño coherente al resto del sistema.</t>
  </si>
  <si>
    <t>Animación de brillo o cambio de fondo en el botón "Volver al Inicio" para incitar a la acción.</t>
  </si>
  <si>
    <t>REQUERIMIENTOS NO FUNCIONALES DE INSTRUMENTAL DENTRO DE LA BASE DE DATOS</t>
  </si>
  <si>
    <t>Las imágenes del catálogo deben referenciarse por ruta (URL) y no almacenarse como BLOB en la base de datos para no afectar el rendimiento.</t>
  </si>
  <si>
    <t>La búsqueda de productos por nombre debe ser insensible a mayúsculas/minúsculas y acentos.</t>
  </si>
  <si>
    <t>La estructura debe permitir agregar nuevas categorías de productos en el futuro sin modificar la lógica principal.</t>
  </si>
  <si>
    <t>REQUERIMIENTOS FUNCIONALES DE MATERIA PRIMA DENTRO DE LA PÁGINA WEB</t>
  </si>
  <si>
    <t>REQUERIMIENTOS FUNCIONALES DE MATERIA PRIMA DENTRO DE LA BASE DE DATOS</t>
  </si>
  <si>
    <t>El sistema debe permitir registrar movimientos de entrada (Compras) y salida (Producción) en el Kardex de Materia Prima.</t>
  </si>
  <si>
    <t>La función de Kardex debe validar que la cantidad del movimiento sea siempre mayor a cero.</t>
  </si>
  <si>
    <t>El sistema debe impedir registrar movimientos si la materia prima o el proveedor están inactivos.</t>
  </si>
  <si>
    <t>Al registrar una salida (Tipos 2 o 4), el sistema debe validar que exista stock suficiente en la bodega del proveedor específico.</t>
  </si>
  <si>
    <t>La función debe actualizar el stock físico en la tabla tab_mat_primas_prov inmediatamente después de registrar el Kardex.</t>
  </si>
  <si>
    <t>El sistema debe concatenar el nombre del proveedor en la observación del Kardex para mantener la trazabilidad.</t>
  </si>
  <si>
    <t>El sistema debe validar que exista una relación comercial previa entre el proveedor y la materia prima antes de mover inventario.</t>
  </si>
  <si>
    <t>La función debe soportar tipos de movimiento definidos: 1-Compra, 2-Producción, 3-Ajuste, 4-Daño.</t>
  </si>
  <si>
    <t>El sistema debe lanzar una alerta o excepción si se intenta extraer más cantidad de la disponible (Stock negativo no permitido en MP).</t>
  </si>
  <si>
    <t>La inserción en el Kardex debe generar un ID autoincremental único por movimiento.</t>
  </si>
  <si>
    <t>REQUERIMIENTOS NO FUNCIONALES DE MATERIA PRIMA DENTRO DE LA PÁGINA WEB</t>
  </si>
  <si>
    <t>REQUERIMIENTOS NO FUNCIONALES DE MATERIA PRIMA DENTRO DE LA BASE DE DATOS</t>
  </si>
  <si>
    <t>El registro de un movimiento en el Kardex debe ser atómico para evitar inconsistencias de inventario.</t>
  </si>
  <si>
    <t>El sistema debe ser capaz de manejar lotes de materia prima con precisión decimal (para medidas como gramos o metros).</t>
  </si>
  <si>
    <t>La consulta de stock actual de materia prima debe ser instantánea (tiempo real).</t>
  </si>
  <si>
    <t>El sistema debe mantener la integridad histórica del Kardex; los registros no deben poder ser modificados ni borrados.</t>
  </si>
  <si>
    <t>Las validaciones de stock deben ejecutarse antes de cualquier escritura en disco para optimizar recursos.</t>
  </si>
  <si>
    <t>REQUERIMIENTOS FUNCIONALES DEL HISTORIAL DENTRO DE LA PÁGINA WEB</t>
  </si>
  <si>
    <t>El sistema debe permitir consultar el Historial de Compras de materia prima, filtrando por proveedor y rango de fechas.</t>
  </si>
  <si>
    <t>El sistema debe permitir consultar el Historial de Ventas (Facturación), filtrando por cliente, fecha o número de factura.</t>
  </si>
  <si>
    <t>El sistema debe mostrar una trazabilidad completa de un producto (Kardex): Cuándo se fabricó, cuándo se vendió y a quién.</t>
  </si>
  <si>
    <t>El módulo debe permitir ver el histórico de precios de venta de los productos del catálogo (Fluctuación de precios).</t>
  </si>
  <si>
    <t>El sistema debe permitir consultar el histórico de precios de compra de materia prima (Costos).</t>
  </si>
  <si>
    <t>El sistema debe permitir ver el historial de cambios en la información de un cliente (ej. cambios de dirección o teléfono).</t>
  </si>
  <si>
    <t>Al consultar un lote de producción, el sistema debe mostrar qué materias primas se consumieron en ese momento.</t>
  </si>
  <si>
    <t>El historial debe diferenciar visualmente entre movimientos de entrada (positivos) y salida (negativos).</t>
  </si>
  <si>
    <t>El sistema debe permitir la reimpresión o visualización de facturas antiguas desde el historial.</t>
  </si>
  <si>
    <t>REQUERIMIENTOS FUNCIONALES DEL HISTORIAL DENTRO DE LA BASE DE DATOS</t>
  </si>
  <si>
    <t>El sistema debe registrar automáticamente un histórico cuando se actualice el precio de una materia prima.</t>
  </si>
  <si>
    <t>La función de actualización de precio debe validar que el nuevo precio no sea negativo.</t>
  </si>
  <si>
    <t>El sistema debe exigir un "motivo" obligatorio (texto) para realizar el cambio de precio.</t>
  </si>
  <si>
    <t>La función debe recuperar automáticamente el precio anterior vigente para guardarlo en el registro histórico.</t>
  </si>
  <si>
    <t>Si no existe un historial previo, el sistema debe asumir el precio anterior como 0.</t>
  </si>
  <si>
    <t>El sistema debe impedir la actualización de precios para materias primas inactivas.</t>
  </si>
  <si>
    <t>El historial debe registrar la fecha y hora exacta del cambio de precio.</t>
  </si>
  <si>
    <t>REQUERIMIENTOS NO FUNCIONALES DEL HISTORIAL DENTRO DE LA PÁGINA WEB</t>
  </si>
  <si>
    <t>REQUERIMIENTOS NO FUNCIONALES DEL HISTORIAL DENTRO DE LA BASE DE DATOS</t>
  </si>
  <si>
    <t>Los registros históricos deben ser inmutables (de solo lectura) una vez creados.</t>
  </si>
  <si>
    <t>realizar pruebas</t>
  </si>
  <si>
    <t>El sistema debe conservar el historial de precios por un periodo indefinido para análisis de costos.</t>
  </si>
  <si>
    <t>REQUERIMIENTOS FUNCIONALES DE CLIENTES DENTRO DE LA PÁGINA WEB</t>
  </si>
  <si>
    <t>REQUERIMIENTOS FUNCIONALES DE CLIENTES DENTRO DE LA BASE DE DATOS</t>
  </si>
  <si>
    <t>El sistema debe validar que el número de documento del cliente no sea nulo al momento del registro.</t>
  </si>
  <si>
    <t>La función de clientes debe impedir la creación de registros duplicados basados en el número de documento.</t>
  </si>
  <si>
    <t>El sistema debe validar que el primer nombre y primer apellido del cliente sean obligatorios.</t>
  </si>
  <si>
    <t>El sistema debe permitir registrar un segundo nombre y segundo apellido como campos opcionales.</t>
  </si>
  <si>
    <t>La función de inserción debe validar que la ciudad asociada al cliente exista en la tabla tab_ciudades.</t>
  </si>
  <si>
    <t>El sistema debe validar que el tipo de documento asociado exista en tab_tipo_documentos.</t>
  </si>
  <si>
    <t>El sistema debe impedir que se ingrese un teléfono de cliente con valores negativos o cero.</t>
  </si>
  <si>
    <t>La función de actualización debe permitir modificar la dirección y teléfono del cliente sin alterar su historial de facturación.</t>
  </si>
  <si>
    <t>El sistema debe inicializar el campo de "Puntos de Fidelización" en 0 al crear un nuevo cliente.</t>
  </si>
  <si>
    <t>La eliminación de un cliente debe ser lógica, cambiando su estado a inactivo para no perder historial de ventas.</t>
  </si>
  <si>
    <t>REQUERIMIENTOS NO FUNCIONALES DE CLIENTES DENTRO DE LA PÁGINA WEB</t>
  </si>
  <si>
    <t>REQUERIMIENTOS NO FUNCIONALES DE CLIENTES DENTRO DE LA BASE DE DATOS</t>
  </si>
  <si>
    <t>La búsqueda de clientes por número de documento debe retornar resultados en menos de 1 segundo.</t>
  </si>
  <si>
    <t>El campo de dirección del cliente debe soportar hasta 200 caracteres para direcciones detalladas.</t>
  </si>
  <si>
    <t>El sistema debe validar que los nombres y apellidos contengan solo caracteres alfabéticos (incluyendo tildes y ñ).</t>
  </si>
  <si>
    <t>La base de datos debe tener un índice en el campo num_documento para optimizar la búsqueda en el punto de venta.</t>
  </si>
  <si>
    <t>Los mensajes de error al gestionar clientes deben ser descriptivos para el usuario final (ej. "El cliente ya existe").</t>
  </si>
  <si>
    <t>REQUERIMIENTOS FUNCIONALES DE FACTURACIÓN DENTRO DE LA PÁGINA WEB</t>
  </si>
  <si>
    <t>REQUERIMIENTOS FUNCIONALES DE FACTURACIÓN DENTRO DE LA BASE DE DATOS</t>
  </si>
  <si>
    <t>La función de facturación debe recibir la lista de productos y cantidades como arreglos (Arrays) de datos.</t>
  </si>
  <si>
    <t>El sistema debe validar que la cantidad de productos coincida con la cantidad de ítems en el arreglo de cantidades.</t>
  </si>
  <si>
    <t>El sistema debe impedir la facturación a clientes que se encuentren en estado inactivo (ind_vivo = FALSE).</t>
  </si>
  <si>
    <t>La función debe validar que el consecutivo de facturación actual no supere el rango final autorizado en tab_parametros.</t>
  </si>
  <si>
    <t>El sistema debe calcular automáticamente el valor bruto, descuento y neto para cada ítem de la factura.</t>
  </si>
  <si>
    <t>La base de datos debe identificar si el producto es un "Kit" o un "Instrumento" para descontar del inventario correcto.</t>
  </si>
  <si>
    <t>El sistema debe actualizar (incrementar) automáticamente el consecutivo de facturación tras una venta exitosa.</t>
  </si>
  <si>
    <t>La función debe registrar la fecha y hora exacta (NOW()) de la transacción de venta.</t>
  </si>
  <si>
    <t>El sistema debe acumular puntos de fidelización al cliente basados en el total de la factura.</t>
  </si>
  <si>
    <t>El sistema debe realizar un ROLLBACK total de la transacción si falla la inserción de cualquier detalle de la factura.</t>
  </si>
  <si>
    <t>REQUERIMIENTOS NO FUNCIONALES DE FACTURACIÓN DENTRO DE LA PÁGINA WEB</t>
  </si>
  <si>
    <t>REQUERIMIENTOS NO FUNCIONALES DE FACTURACIÓN DENTRO DE LA BASE DE DATOS</t>
  </si>
  <si>
    <t>El proceso completo de facturación (cabecera + detalles + kardex) debe completarse en menos de 3 segundos.</t>
  </si>
  <si>
    <t>El sistema debe garantizar la consistencia de los datos financieros (sin decimales erróneos) usando tipos de datos DECIMAL.</t>
  </si>
  <si>
    <t>La función de facturación debe ser capaz de procesar facturas con hasta 50 ítems sin degradación de rendimiento.</t>
  </si>
  <si>
    <t>El sistema de facturación debe estar disponible 99.9% del tiempo operativo.</t>
  </si>
  <si>
    <t>Los cálculos de totales deben tener una precisión de 2 decimales.</t>
  </si>
  <si>
    <t>REQUERIMIENTOS FUNCIONALES DE GESTIÓN USUARIOS DENTRO DE LA PÁGINA WEB</t>
  </si>
  <si>
    <t>REQUERIMIENTOS FUNCIONALES DE GESTIÓN USUARIOS DENTRO DE LA BASE DE DATOS</t>
  </si>
  <si>
    <t>La función de creación de usuarios debe validar que el nombre de usuario no contenga espacios vacíos.</t>
  </si>
  <si>
    <t>El sistema debe impedir el registro de dos usuarios con el mismo correo electrónico.</t>
  </si>
  <si>
    <t>El sistema debe validar que el número de teléfono del usuario tenga exactamente 10 dígitos numéricos.</t>
  </si>
  <si>
    <t>La función de actualización de usuarios debe verificar que el usuario exista y esté activo (ind_vivo = TRUE) antes de modificarlo.</t>
  </si>
  <si>
    <t>El sistema debe permitir actualizar la contraseña del usuario validando la complejidad requerida.</t>
  </si>
  <si>
    <t>El sistema debe validar que el correo electrónico del usuario tenga un formato válido (contenga '@' y dominio).</t>
  </si>
  <si>
    <t>El sistema debe impedir la creación de usuarios si el número de teléfono ya está asociado a otra cuenta activa.</t>
  </si>
  <si>
    <t>La función de inserción de usuarios debe asignar automáticamente un ID único consecutivo.</t>
  </si>
  <si>
    <t>El sistema debe retornar un mensaje de error específico ("Usuario ya existe", "Email inválido") según el fallo de validación.</t>
  </si>
  <si>
    <t>La gestión de usuarios debe permitir la asignación de roles o perfiles (asociado a Permisos).</t>
  </si>
  <si>
    <t>REQUERIMIENTOS NO FUNCIONALES DE GESTIÓN USUARIOS DENTRO DE LA PÁGINA WEB</t>
  </si>
  <si>
    <t>REQUERIMIENTOS NO FUNCIONALES DE GESTIÓN USUARIOS DENTRO DE LA BASE DE DATOS</t>
  </si>
  <si>
    <t>Las contraseñas de los usuarios no deben almacenarse en texto plano, deben estar encriptadas (ej. Hash SHA-256 o bcrypt).</t>
  </si>
  <si>
    <t>La validación de credenciales de usuario debe ejecutarse en menos de 500 milisegundos.</t>
  </si>
  <si>
    <t>El campo de contraseña en la base de datos debe tener longitud suficiente para almacenar el hash encriptado.</t>
  </si>
  <si>
    <t>La función de gestión de usuarios debe ser resistente a inyecciones SQL mediante el uso de parámetros tipados.</t>
  </si>
  <si>
    <t>El sistema debe garantizar la confidencialidad de los datos de contacto (teléfono y correo) del usuario.</t>
  </si>
  <si>
    <t>REQUERIMIENTOS FUNCIONALES DE PERMISOS DENTRO DE LA PÁGINA WEB</t>
  </si>
  <si>
    <t>REQUERIMIENTOS FUNCIONALES DE PERMISOS DENTRO DE LA BASE DE DATOS</t>
  </si>
  <si>
    <t>El sistema debe permitir asignar menús específicos a usuarios específicos.</t>
  </si>
  <si>
    <t>La base de datos debe validar que el usuario y el menú existan antes de crear la asociación.</t>
  </si>
  <si>
    <t>El sistema debe permitir revocar el acceso de un usuario a un menú (Eliminación lógica o física de la relación).</t>
  </si>
  <si>
    <t>La consulta de menús debe retornar solo las opciones activas (ind_vivo = TRUE).</t>
  </si>
  <si>
    <t>El sistema debe validar que el nombre del programa (nom_prog) asociado al menú no sea nulo.</t>
  </si>
  <si>
    <t>La base de datos debe impedir asignar el mismo menú dos veces al mismo usuario (Clave primaria compuesta).</t>
  </si>
  <si>
    <t>El sistema debe permitir crear nuevos ítems de menú dinámicamente.</t>
  </si>
  <si>
    <t>Al cargar el sistema, se deben obtener solo los menús autorizados para el usuario que inició sesión.</t>
  </si>
  <si>
    <t>La estructura debe permitir jerarquías de menús si se requiere (aunque el modelo actual es plano, la lógica debe permitirlo).</t>
  </si>
  <si>
    <t>El sistema de auditoría debe registrar quién asignó o revocó permisos a un usuario.</t>
  </si>
  <si>
    <t>REQUERIMIENTOS NO FUNCIONALES DE PERMISOS DENTRO DE LA PÁGINA WEB</t>
  </si>
  <si>
    <t>REQUERIMIENTOS NO FUNCIONALES DE PERMISOS DENTRO DE LA BASE DE DATOS</t>
  </si>
  <si>
    <t>La validación de permisos debe ser inmediata al intentar acceder a un módulo.</t>
  </si>
  <si>
    <t>La estructura de permisos debe ser flexible para agregar nuevos módulos sin reestructurar la base de datos.</t>
  </si>
  <si>
    <t>El sistema no debe mostrar opciones de menú deshabilitadas o inactivas para evitar confusión.</t>
  </si>
  <si>
    <t>La consulta de permisos debe ser de alta velocidad ya que se ejecuta en cada inicio de sesión o navegación.</t>
  </si>
  <si>
    <t>La seguridad de acceso debe validarse tanto en el Frontend (visibilidad) como en el Backend (acceso a datos).</t>
  </si>
  <si>
    <t>Funciones insert</t>
  </si>
  <si>
    <t>Funciones update</t>
  </si>
  <si>
    <t>Funciones delete</t>
  </si>
  <si>
    <t>Funciones transaccionales</t>
  </si>
  <si>
    <t xml:space="preserve">   - fun_insert_banco_prov.sql</t>
  </si>
  <si>
    <t xml:space="preserve">   - fun_update_banco_prov.sql</t>
  </si>
  <si>
    <t xml:space="preserve">   - fun_delete_banco_prov.sql</t>
  </si>
  <si>
    <t>fun_act_precio.sql (Actualiza precios de historico materia prima)</t>
  </si>
  <si>
    <t xml:space="preserve">   - fun_insert_bancos.sql</t>
  </si>
  <si>
    <t xml:space="preserve">   - fun_update_bancos.sql</t>
  </si>
  <si>
    <t xml:space="preserve">   - fun_delete_bancos.sql</t>
  </si>
  <si>
    <t>fun_caja_diario.sql (Cálculo y cierre de caja diaria)</t>
  </si>
  <si>
    <t xml:space="preserve">   - fun_insert_cargo.sql</t>
  </si>
  <si>
    <t xml:space="preserve">   - fun_update_cargos.sql</t>
  </si>
  <si>
    <t xml:space="preserve">   - fun_delete_cargos.sql</t>
  </si>
  <si>
    <t>fun_fact.sql (Función principal de facturación general)</t>
  </si>
  <si>
    <t xml:space="preserve">   - fun_insert_cat_mat.sql</t>
  </si>
  <si>
    <t xml:space="preserve">   - fun_update_cat_mat_prim.sql</t>
  </si>
  <si>
    <t xml:space="preserve">   - fun_delete_cat_mat_prim.sql</t>
  </si>
  <si>
    <t>fun_kardex_mat_prim.sql (Gestión de movimientos de inventario de materia prima)</t>
  </si>
  <si>
    <t xml:space="preserve">   - fun_insert_ciudades.sql</t>
  </si>
  <si>
    <t xml:space="preserve">   - fun_update_ciudades.sql</t>
  </si>
  <si>
    <t xml:space="preserve">   - fun_delete_ciudades.sql</t>
  </si>
  <si>
    <t>fun_kardex_prod.sql (Gestión de movimientos de inventario de producto terminado)</t>
  </si>
  <si>
    <t xml:space="preserve">   - fun_insert_cliente.sql</t>
  </si>
  <si>
    <t xml:space="preserve">   - fun_update_clientes.sql</t>
  </si>
  <si>
    <t xml:space="preserve">   - fun_delete_clientes.sql</t>
  </si>
  <si>
    <t>fun_listar_fact.sql (Listado de facturas)</t>
  </si>
  <si>
    <t xml:space="preserve">   - fun_insert_departamento.sql</t>
  </si>
  <si>
    <t xml:space="preserve">   - fun_update_departamentos.sql</t>
  </si>
  <si>
    <t xml:space="preserve">   - fun_delete_departamentos.sql</t>
  </si>
  <si>
    <t xml:space="preserve">   - fun_insert_devolucion.sql</t>
  </si>
  <si>
    <t xml:space="preserve">   - fun_update_detalle_factura.sql</t>
  </si>
  <si>
    <t xml:space="preserve">   - fun_delete_detalle_factura.sql</t>
  </si>
  <si>
    <t xml:space="preserve">   - fun_insert_empleados.sql</t>
  </si>
  <si>
    <t xml:space="preserve">   - fun_update_devolucion.sql</t>
  </si>
  <si>
    <t xml:space="preserve">   - fun_delete_devolucion.sql</t>
  </si>
  <si>
    <t xml:space="preserve">   - fun_insert_especializacion.sql</t>
  </si>
  <si>
    <t xml:space="preserve">   - fun_update_empleados.sql</t>
  </si>
  <si>
    <t xml:space="preserve">   - fun_delete_empleados.sql</t>
  </si>
  <si>
    <t xml:space="preserve">   - fun_insert_estado_fact.sql</t>
  </si>
  <si>
    <t xml:space="preserve">   - fun_update_estado_fact.sql</t>
  </si>
  <si>
    <t xml:space="preserve">   - fun_delete_estado_fact.sql</t>
  </si>
  <si>
    <t xml:space="preserve">   - fun_insert_instrumento_kit.sql</t>
  </si>
  <si>
    <t xml:space="preserve">   - fun_update_facturas.sql</t>
  </si>
  <si>
    <t xml:space="preserve">   - fun_delete_factura_completa.sql</t>
  </si>
  <si>
    <t xml:space="preserve">   - fun_insert_instrumentos (añadir_validacion).sql</t>
  </si>
  <si>
    <t xml:space="preserve">   - fun_update_historico_mat_prima.sql</t>
  </si>
  <si>
    <t xml:space="preserve">   - fun_delete_historico_mat_prima.sql</t>
  </si>
  <si>
    <t xml:space="preserve">   - fun_insert_kits.sql</t>
  </si>
  <si>
    <t xml:space="preserve">   - fun_update_instrumentos(añadir_validaciones).sql</t>
  </si>
  <si>
    <t xml:space="preserve">   - fun_delete_instrumentos.sql</t>
  </si>
  <si>
    <t xml:space="preserve">   - fun_insert_mat_prima_proveedor.sql</t>
  </si>
  <si>
    <t xml:space="preserve">   - fun_update_kardex_mat_prima.sql</t>
  </si>
  <si>
    <t xml:space="preserve">   - fun_delete_instrumentos_kit.sql</t>
  </si>
  <si>
    <t xml:space="preserve">   - fun_insert_materia_primas.sql</t>
  </si>
  <si>
    <t xml:space="preserve">   - fun_update_kardex_productos.sql</t>
  </si>
  <si>
    <t xml:space="preserve">   - fun_delete_kardex_mat_prima.sql</t>
  </si>
  <si>
    <t xml:space="preserve">   - fun_insert_menu.sql</t>
  </si>
  <si>
    <t xml:space="preserve">   - fun_update_kit.sql</t>
  </si>
  <si>
    <t xml:space="preserve">   - fun_delete_kardex_productos.sql</t>
  </si>
  <si>
    <t xml:space="preserve">   - fun_insert_menu_user.sql</t>
  </si>
  <si>
    <t xml:space="preserve">   - fun_update_mat_prima_proveedor.sql</t>
  </si>
  <si>
    <t xml:space="preserve">   - fun_delete_kit.sql</t>
  </si>
  <si>
    <t xml:space="preserve">   - fun_insert_producto.sql</t>
  </si>
  <si>
    <t xml:space="preserve">   - fun_update_materia_primas.sql</t>
  </si>
  <si>
    <t xml:space="preserve">   - fun_delete_mat_prima_proveedor.sql</t>
  </si>
  <si>
    <t xml:space="preserve">   - fun_insert_prov.sql</t>
  </si>
  <si>
    <t xml:space="preserve">   - fun_update_menu.sql</t>
  </si>
  <si>
    <t xml:space="preserve">   - fun_delete_materia_primas.sql</t>
  </si>
  <si>
    <t xml:space="preserve">   - fun_insert_tipo_doc.sql</t>
  </si>
  <si>
    <t xml:space="preserve">   - fun_update_menu_user.sql</t>
  </si>
  <si>
    <t xml:space="preserve">   - fun_delete_menu.sql</t>
  </si>
  <si>
    <t xml:space="preserve">   - fun_insert_tipo_sangre.sql</t>
  </si>
  <si>
    <t xml:space="preserve">   - fun_update_movimiento_a_produccion.sql</t>
  </si>
  <si>
    <t xml:space="preserve">   - fun_delete_menu_user.sql</t>
  </si>
  <si>
    <t xml:space="preserve">   - fun_insert_user.sql</t>
  </si>
  <si>
    <t xml:space="preserve">   - fun_update_movimiento_bodega.sql</t>
  </si>
  <si>
    <t xml:space="preserve">   - fun_delete_movimiento_a_produccion.sql</t>
  </si>
  <si>
    <t xml:space="preserve">   - fun_update_parametros.sql</t>
  </si>
  <si>
    <t xml:space="preserve">   - fun_delete_movimiento_bodega.sql</t>
  </si>
  <si>
    <t xml:space="preserve">   - fun_update_producto.sql</t>
  </si>
  <si>
    <t xml:space="preserve">   - fun_delete_producto.sql</t>
  </si>
  <si>
    <t xml:space="preserve">   - fun_update_proveedores.sql</t>
  </si>
  <si>
    <t xml:space="preserve">   - fun_delete_proveedores.sql</t>
  </si>
  <si>
    <t xml:space="preserve">   - fun_update_tab_instrumentos_kit.sql</t>
  </si>
  <si>
    <t xml:space="preserve">   - fun_delete_tipo_documento.sql</t>
  </si>
  <si>
    <t xml:space="preserve">   - fun_update_tipo_documentos.sql</t>
  </si>
  <si>
    <t xml:space="preserve">   - fun_delete_tipo_especializacion.sql</t>
  </si>
  <si>
    <t xml:space="preserve">   - fun_update_tipo_especializacion.sql</t>
  </si>
  <si>
    <t xml:space="preserve">   - fun_delete_tipo_sangre.sql</t>
  </si>
  <si>
    <t xml:space="preserve">   - fun_update_tipo_sangre.sql</t>
  </si>
  <si>
    <t xml:space="preserve">   - fun_delete_user.sql</t>
  </si>
  <si>
    <t xml:space="preserve">   - fun_update_user.sql</t>
  </si>
  <si>
    <t>Transaccion - Carga del sistema</t>
  </si>
  <si>
    <t>Soporte para autocompletar registro en el navegador.</t>
  </si>
  <si>
    <t>REQUERIMIENTOS FUNCIONALES DE CLIENTE DE LA PÁGINA WEB</t>
  </si>
  <si>
    <t>Al iniciar como cliente, el sistema debe mostrar un header con: Logo Specialized, Nombre Specialized, Barra de búsqueda, Botón de carrito, Icono de usuario junto a su nombre, botón de salir.</t>
  </si>
  <si>
    <t>La barra de búsqueda debe ser dinámica e ir mostrando resultados según lo que se escriba, si se borra el buscado, el sistema debe volver a mostrar todos los productos.</t>
  </si>
  <si>
    <t>Tanto el logo como el nombre "Specialized" al momento de dar click deben redirigir al inicio del scroll de la página de cliente.</t>
  </si>
  <si>
    <t>EL botón de carrito debe desplegar un menú derecho (sidebar).</t>
  </si>
  <si>
    <t>El carrito, si no hay productos añadidos debe mostrar un botón "Ver Productos" que al dar click cierra el menú de carrito y vuelve a la vista principal de productos.</t>
  </si>
  <si>
    <t>Al añadir productos al carrito, el icono de este en la parte superior derecha debe mostrar un circulo rojo con el numero exacto que se añada al carrito.</t>
  </si>
  <si>
    <t>Si se reduce más de 1 cantidad, el producto desaparece del carrito.</t>
  </si>
  <si>
    <t>Al tener productos añadidos, en el menú (sidebar) de carrito, deben aparecer los productos con su nombre, precio, una opción para añadir o reducir cantidades y un botón con ícono de basura para eliminar el ítem.</t>
  </si>
  <si>
    <t>En la parte inferior del sidebar de carrito, el sistema debe calcular el total de productos añadidos al carrito.</t>
  </si>
  <si>
    <t>Al hacer click en el botón "Proceder al Pago -&gt;"  el sistema debe mostrar un modal con el mensaje "Funcionalidad de pago próximamente".</t>
  </si>
  <si>
    <t>Al dar click en el ícono de usuario, junto al nombre, el sistema debe desplegar un modal con el nombre "Modificar Perfil", con los campos: (Nombre de Usuario, Email, Télefono).</t>
  </si>
  <si>
    <t>El modal debe contener los datos del usuario actual en los campos correspondientes.</t>
  </si>
  <si>
    <t>Al dar click al botón de salir el sistema debe mostrar un modal de confirmación con el mensaje: "¿Estás seguro de que deseas cerrar sesión?".</t>
  </si>
  <si>
    <t>El botón "Aceptar" debe redirigir a la landing, el botón "Cancelar" debe mantener la sesión y cerrar el modal.</t>
  </si>
  <si>
    <t>Antes de la sección de productos debe haber un título y una descripción del sistema "SDI (Special Dental Instruments)".</t>
  </si>
  <si>
    <t>La sección de productos debe tener las siguientes etiquetas de filtro: "Todos, Estética, Esterilización, Endodoncia, Periodoncia, Kits".</t>
  </si>
  <si>
    <t>Los filtros deben ser funcionales, al dar click a algún filtro debe traer los productos de la categoría seleccionada.</t>
  </si>
  <si>
    <t>Los productos deben estar contenidos en tarjetas, con una etiqueta distintiva de su categoría, su imagen, su nombre, su descripción y su precio.</t>
  </si>
  <si>
    <t>Cada tarjeta debe tener un botón "+" que al dar click debe añadir el producto al carrito.</t>
  </si>
  <si>
    <t>La página debe tener un scroll funcional.</t>
  </si>
  <si>
    <t>El modal debe contener los botones "Cambiar Contraseña", "Cancelar" y "Guardar Cambios".</t>
  </si>
  <si>
    <t>El botón "Cambiar Contraseña" abre un modal para el cambio de contraseña con los campos (Contraseña Actual, Nueva Contraseña, Confirmar Nueva Contraseña).</t>
  </si>
  <si>
    <t>Los campos "Nueva Contraseña" y "Confirmar Nueva Contraseña" deben tener textos de validaciones debajo del campo.</t>
  </si>
  <si>
    <t>Si al enviar datos tras dar click en "Guardar Cambios" y algún campo está mal el sistema debe mostrar el error correspondiente según el campo.</t>
  </si>
  <si>
    <t>El botón "Cancelar" debe cerrar el modal y dejar al usuario en la vista de productos.</t>
  </si>
  <si>
    <t>Tras clickear "Guardar Cambios" y la actualización sea exitosa el sistema debe mostrar un mensaje que dice "Perfil actualizado correctamente" y cerrar el modal dejando visible los productos.</t>
  </si>
  <si>
    <t>Tras clickear "Cambiar Contraseña" y los campos no tengan ningún error, el sistema debe mostrar un mensaje "Contraseña cambiada con éxito".</t>
  </si>
  <si>
    <t>Tras clickear "Cambiar Contraseña" y los campos tengan algún error, el sistema debe mostrar un mensaje de error según el campo que falló.</t>
  </si>
  <si>
    <t>Al clickear el botón "Cancelar" el sistema debe cerrar el modal y dejar visibles los productos.</t>
  </si>
  <si>
    <t>Al expirar el tiempo del token, el sistema debe mostrar un modal con el título "Sesión Caducada", con el mensaje "Tu sesión se ha cerrado automáticamente por seguridad debido a inactividad o expiración del token."</t>
  </si>
  <si>
    <t>Al dar click en "¿Olvidaste tu contraseña?" el sistema debe abrir un modal con el título "Recuperar Contraseña" y el mensaje "Ingresa tu nombre de usuario para buscar tu cuenta.".</t>
  </si>
  <si>
    <t>El modal debe mostrar un campo para ingresar el "Nombre de usuario" y si se ingresa un dato debe proceder a buscar el registro en el sistema, junto con el botón "Buscar" funcional.</t>
  </si>
  <si>
    <t>Si al dar click en el botón "Buscar" y el campo contiene un user incorrecto, el sistema debe mostrar un modal con el mensaje "Usuario no encontrado" y un botón aceptar.</t>
  </si>
  <si>
    <t>Si al dar click en el botón "Buscar" el campo está vacío el sistema debe mostrar un modal con el mensaje "Ingresa tu usuario" y un botón aceptar.</t>
  </si>
  <si>
    <t>El modal de "sesión caducada" debe contener un botón "Aceptar y Salir" que al dar click en este, debe cerrar la sesión automáticamente y redirigir a la landing.</t>
  </si>
  <si>
    <t>El sistema debe verificar si el user ingresado corresponde a un usuario ya registrado, si el user no corresponde a un usuario el sistema debe mostrar un cuadro de modal que indique que el usuario no se encuentra.</t>
  </si>
  <si>
    <t>Si el user sí está registrado, el sistema debe abrir un nuevo modal con el título "Elige un método" y el mensaje "¿Cómo quieres recibir tu código de recuperación?".</t>
  </si>
  <si>
    <t>El modal debe mostrar dos opciones, la opción "Enviar a Email (correo_registrado@dominio.com)" y la opción "Enviar SMS (Télefono_registrado)".</t>
  </si>
  <si>
    <t>El modal debe mostrar el botón "Atrás" que regresa al modal de buscar usuario.</t>
  </si>
  <si>
    <t>Al dar click en el botón "Enviar a SMS" el sistema debe simular un envío al celular, generando un código aleatorio con el mensaje: "SIMULACIÓN: Tu código es "código_generado".</t>
  </si>
  <si>
    <t>Al dar click en el botón "Enviar a Email" el sistema debe simular un envío al email, generando un código aleatorio, abriendo un modal con el texto "SIMULACIÓN: Tu código es "código_generado".</t>
  </si>
  <si>
    <t>Despliegue de Información: Mostrar descripción y productos al hacer clic en una categoría.</t>
  </si>
  <si>
    <t>olvidar contraseña + olvidé usuario</t>
  </si>
  <si>
    <t>Tras clickear "Aceptar" en el modal del código, el sistema debe abrir un nuevo modal con el título "Código Enviado", con la descripción "Ingresa el código de 6 dígitos y tu nueva contraseña."</t>
  </si>
  <si>
    <t>El sistema debe mostrar tres, uno para ingresar el código de recuperación y otros dos campos para ingresar la nueva contraseña, la contraseña ingresada en el campo superior debe ser igual a la ingresada en el campo inferior, de lo contrario el sistema debe mostrar un cuadro de texto que indique que las contraseñas no son iguales.</t>
  </si>
  <si>
    <t>Al cambiar la contraseña satisfactoriamente, el sistema debe mostrar un nuevo modal con el título "¡Listo!" junto con un mensaje "Tu contraseña ha sido actualizada".</t>
  </si>
  <si>
    <t>Sección "¡Hola, Amigo!" con mensaje motivacional junto enlace "INICIAR SESIÓN" visible y funcional.</t>
  </si>
  <si>
    <t>Sección "¡Bienvenido de nuevo!" junto enlace "REGISTRARSE" visible y funcional.</t>
  </si>
  <si>
    <t>Interacción Dinámica de Métricas: Al accionar (click) cualquier tarjeta de estadísticas, el sistema debe inicializar y desplegar un modal de gestión contextualizado al módulo de la métrica seleccionada (Excepto en las tarjetas "Mayor venta" y "Menor producto en stock".</t>
  </si>
  <si>
    <t>Visibilidad de Inventario General: La tarjeta de Gestión "Productos en inventario" debe consolidar la sumatoria de todos los instrumentos y kits que tengan el estado ind_vivo = TRUE.</t>
  </si>
  <si>
    <t>En instrumentos, el sistema debe desplegar un listado con vistas en tarjeta de todos los instrumentos, con su cantidad disponible, vista previa de la imagen, nombre, especialización a la que pertenece, referencia (id), y botones para actualizar y eliminar.</t>
  </si>
  <si>
    <t>Los modales de detalles de instrumentos deben tener su botón "x" o "Cerrar" en la parte inferior para cerrar los detalles de un instrumento.</t>
  </si>
  <si>
    <t>El modal "Editar Instrumento" debe traer información actual del instrumento, campos rellenados con los datos actuales del instrumento.</t>
  </si>
  <si>
    <t>Tras actualización exitosa, el sistema debe mostrar un modal con el título "¡Éxito!", una descripción y el botón "Aceptar" que cierra todos los modales al interactuar con él.</t>
  </si>
  <si>
    <t>El sistema no debe dejar guardar, ni crear un instrumento nuevo si hay campos en rojo, en dado caso que pase estas validaciones, debe mostrar un modal con el título "Datos inválidos" con un mensaje descriptivo y amigable para el usuario, junto con el botón "Cerrar", para volver a la edición o creación de un instrumento.</t>
  </si>
  <si>
    <t>Al dar click en cualquier tarjeta de cualquier instrumento, el sistema debe abrir una vista detallada del instrumento (Mostrando su imagen, nombre, especializacion, referencia, cantidad actual, stock min/max, material, lote y su registro invima).</t>
  </si>
  <si>
    <t>Desde la vista de tarjetas, al interactuar con el botón "Lápiz" también debe abrir el modal "Editar Instrumento".</t>
  </si>
  <si>
    <t>El sistema debe mostrar la tarjeta "Instrumentos" y la tarjeta "Kits" junto con su breve descripción.</t>
  </si>
  <si>
    <t>En Kits, el sistema debe desplegar un listado con vistas en tarjeta de todos los Kits, con su cantidad disponible, vista previa de la imagen, nombre, especialización a la que pertenece, referencia (id), y botones para actualizar y eliminar.</t>
  </si>
  <si>
    <t>Al dar click en la tarjeta "Agregar Nuevo" se debe abrir el modal  "Nuevo registro" con los campos necesarios para agregar un nuevo instrumental o kit (Nombre Instrumento/kit, Cantidad, Lote,etc).</t>
  </si>
  <si>
    <t>Los modales de detalles de kits deben tener su botón "x" o "Cerrar" en la parte inferior para cerrar los detalles de un kit.</t>
  </si>
  <si>
    <t>Al dar click en cualquier tarjeta de cualquier kit, el sistema debe abrir una vista detallada del kit (Mostrando su imagen, nombre, especializacion, referencia, cantidad actual, stock min/max y el contenido del kit (instrumentos que tiene).</t>
  </si>
  <si>
    <t>Mejor que use la imagen ya asignada a instrumento o kits</t>
  </si>
  <si>
    <t>Dentro del modal "Editar Kit", debe haber un menú en la parte derecha con el nombre "Contenido del Kit" y una breve descripción, este menú debe permitir agregar y eliminar instrumentos a un kit (Mín. 3, Máx. 10).</t>
  </si>
  <si>
    <t>Botón "+ Agregar Instrumento" funcional, al dar click en este, el sistma debe agregar un nuevo campo para ingresar un nuevo instrumento al kit.</t>
  </si>
  <si>
    <t>Botón "Basura" funcional, al dar click en este, el sistema debe borrar el campo para agregar instrumentos.</t>
  </si>
  <si>
    <t>Modal "Editar Kit", debe traer de la base de datos, información correspondiente para llenar los campos (Especialización, Buscar instrumento…).</t>
  </si>
  <si>
    <t>Modal "Editar instrumento", debe traer de la base de datos, información correspondiente para llenar los campos (Especialización).</t>
  </si>
  <si>
    <t>Desde la vista de tarjetas, al interactuar con el botón "Lápiz" también debe abrir el modal "Editar Kit".</t>
  </si>
  <si>
    <t>El modal "Editar Kit" debe traer información actual del Kit, campos rellenados con los datos actuales del instrumento.</t>
  </si>
  <si>
    <t>Al dar click en el botón "Editar" dentro del modal de detalles de un instrumento, el sistema debe abrir un nuevo modal llamado "Editar Instrumento" con los campos: Especialización, Nombre Instrumento, Cantidad Disponible, Lote, Registro INVIMA, Numeral en kit (Si aplica), Tipo de material, Imagen, Stock min/max), junto con los botones "Cancelar" y "Guardar".</t>
  </si>
  <si>
    <t>Al dar click en el botón "Editar" dentro del modal de detalles de un kit, el sistema debe abrir un nuevo modal llamado "Editar Kit" con los campos: Nombre del Kit, Especialización, Cantidad Disponible, Stock Mínimo, Stock Máximo, Imagen, Stock min/max), junto con los botones "Cancelar" y "Guardar".</t>
  </si>
  <si>
    <t>El sistema no debe dejar guardar, ni crear un kit nuevo si hay campos en rojo, en dado caso que pase estas validaciones, debe mostrar un modal con el título "Datos inválidos" con un mensaje descriptivo y amigable para el usuario, junto con el botón "Cerrar", para volver a la edición o creación de un kit.</t>
  </si>
  <si>
    <t>El botón "Basura" en la vista tarjetas de instrumentos, al interactuar con el, debe mostrar un mensaje de confirmación al usuario antes de borrar un registro, al elegir la opción "Sí, eliminarlo", el sistema debe pasar el "ind_vivo" de ese instrumento a "FALSE". Si elige la opción "Cerrar", el modal de confirmación se debe cerrar dejando la vista de instrumentos.</t>
  </si>
  <si>
    <t>El botón "Basura" en la vista tarjetas de kits, al interactuar con el, debe mostrar un mensaje de confirmación al usuario antes de borrar un registro, al elegir la opción "Sí, eliminarlo", el sistema debe pasar el "ind_vivo" de ese instrumento a "FALSE". Si elige la opción "Cerrar", el modal de confirmación se debe cerrar dejando la vista de instrumentos.</t>
  </si>
  <si>
    <t>Implementada</t>
  </si>
  <si>
    <t>El sistema debe mostrar el botón "&lt;- Volver al Inicio" que redirecciona al dashboard principal.</t>
  </si>
  <si>
    <t>Título "Materia Prima" visible.</t>
  </si>
  <si>
    <t>Botón "Registrar Movimiento" funcional, al dar click en este, el sistema debe abrir un modal con el título "Registrar Movimiento".</t>
  </si>
  <si>
    <t>Dentro del modal "Registrar Movimiento", el sistema debe mostrar los campos: Proveedor, Materia Prima, Tipo Movimiento, Cantidad Unidades, Observaciones. Con los botones "Cancelar" y "Registrar".</t>
  </si>
  <si>
    <t>El sistema debe obligar al usuario a seleccionar un proveedor para mostrar las materias primas correspondientes. Al seleccionar un proveedor, el sistema debe habilitar el campo "Materia Prima". Al hacer click sobre estos campos el sistema debe desplegar una listado.</t>
  </si>
  <si>
    <t>El campo "Tipo Movimiento" debe desplegar un listado al hacer click sobre este, con las siguientes opciones: "1. Entrada (Compra)", "2. Salida (Producción)", "3. Ajuste (Entrada +)" y "4. Daño (Salida -)".</t>
  </si>
  <si>
    <t>Botón "Cancelar" cierra el modal de "Registrar Movimiento".</t>
  </si>
  <si>
    <t>Al llenar todos los campos de forma correcta y dar click en el botón "Registrar", el sistema debe mostrar un modal con el texto "¿Confirmar registro de movimiento? Esta acción afectará el inventario.", si el usuario da click en "Cancelar" este modal se cierra.</t>
  </si>
  <si>
    <t>Si el usuario da click en "Aceptar", el botón "Registrar" debe pasar a "Guardando…", si todo salió bien, el sistema debe abrir un nuevo modal con el texto "Movimiento registrado con éxito.", tras dar click en el botón "Aceptar" el sistema debe cerrar todos los modales, y los cambios se deben haber realizado.</t>
  </si>
  <si>
    <t>Si el usuario da click en "Aceptar", el botón "Registrar" debe pasar a "Guardando…", si algo salio mal, el sistema debe abrir un nuevo modal con el texto "Error:" y un mensaje específico y amigable, tras dar click en el botón "Aceptar" el sistema debe dejar en la vista el panel "Registrar Movimiento" visible nuevamente.</t>
  </si>
  <si>
    <t>El sistema debe mostrar una vista en tarjetas de las categorías disponibles junto a su nombre.</t>
  </si>
  <si>
    <t>El sistema se debe adaptar a las categorías, debe desplegar un scroll si existen más de 12 categorías.</t>
  </si>
  <si>
    <t>Al dar click en una tarjeta, el sistema debe abrir un nuevo menú para gestionar las materias primas de la categoría seleccionada.</t>
  </si>
  <si>
    <t>El sistema debe mostrar el botón "&lt;- Volver a categorías" que redirige a la vista anterior de categorías.</t>
  </si>
  <si>
    <t>El sistema debe mostrar el título "Materias Primas: (Categoría Seleccionada)".</t>
  </si>
  <si>
    <t>Modal "Registrar Movimiento", debe traer de la base de datos, información correspondiente para llenar los campos (Proveedor, Materia Prima, Unidad de Medida).</t>
  </si>
  <si>
    <t>El sistema debe mostrar el botón " + Agregar Nueva Materia" que al dar click en este, el sistema debe abrir un nuevo modal-formulario con los siguientes campos: Nombre Materia Prima, Stock Mínimo / Máximo, Imagen, Proveedor, Valor de Medida, Unidad de medida Lote Inicial, Tipo Material, Cantidad Inicial.</t>
  </si>
  <si>
    <t>Al dar click en el botón "Guardar" y todos los campos sean válidos, el sistema debe abrir un modal con el título "¡Éxito!" con el mensaje "Registro guardado correctamente" y el botón "Aceptar", que al dar click en este, cierra todos los modales y dejar visible la gestión de la categoría seleccioanda anteriormente.</t>
  </si>
  <si>
    <t>Los campos "Proveedor" y "Unidad de Medida" deben desplegar listas de opciones al dar click en estas.</t>
  </si>
  <si>
    <t>Al dar click en el botón "Guardar" y algún campo sea inválido, el sistema debe abrir un modal con el título "Datos inválidos" con el mensaje "Por favor corrija los campos marcados en rojo." y el botón "Cerrar", que al dar click en este, cierra el modal de error y deja visible el modal de creación de la materia prima.</t>
  </si>
  <si>
    <t>El sistema debe desplegar una vista en tarjetas de las materias primas existentes según la categoría, con su respectiva imagen, nombre, id de referencia, cantidad disponible, stock mínimo y los botones "Editar", "Detalle" y "Eliminar".</t>
  </si>
  <si>
    <t>Al dar click en el botón "Editar" el sistema debe abrir el modal "Editar Materia Prima", el modal debe tener los siguientes campos: Nombre Materia Prima, Stock Mín/Máx, Imagen, Proveedor, Valor de medida, Unidad de medida.</t>
  </si>
  <si>
    <t>Los campos deben tener los datos actuales de la materia prima seleccionada.</t>
  </si>
  <si>
    <t>Al dar click sobre el botón "Detalle", el sistema debe abrir un modal detallado con la información de la materia prima seleccionada con los datos: Título "Detalles de Materia" con el nombre de la materia prima seleccionada, ID, ID de la categoría, Cantidad disponible, Medida, Stock Mín/Máx y su imagen.</t>
  </si>
  <si>
    <t>Este modal debe contar con una "x" en la esquina superior derecha y un botón "Cerrar" que al hacer click sobre estos, el sistema cierra el modal de detalle.</t>
  </si>
  <si>
    <t>Al dar click sobre el botón "Eliminar", el sistema debe mostrar un modal de confirmación con el mensaje: "¿Estás Seguro? Esta acción no se puede deshacer. Se eliminará la materia prima." Junto con dos botones "Sí, eliminar" y "Cancelar".</t>
  </si>
  <si>
    <t>Toda la sección de "Materia Prima", debe contar con un botón flotante con el nombre "Administrar Categorías".</t>
  </si>
  <si>
    <t>Al dar click sobre "Administrar categorías" el sistema debe abrir un modal para gestionar las categorías, debe mostrar todas las categorías disponibles, su id, su nombre, el botón "Editar" y el botón "Eliminar".</t>
  </si>
  <si>
    <t>El modal de "Administrar Categorías" debe contar con dos botones en la esquina superior derecha: "+ Nuevo" para crear una nueva categoría y "X" para cerrar el modal.</t>
  </si>
  <si>
    <t>Al dar click sobre eliminar, el sistema debe mostrar un modal de confirmación de borrado, mensaje de éxito "Eliminado! - La materia prima ha sido eliminada", con el botón "OK" que al dar click sobre este, el sistema debe dejar visible la sección de materias primas de la categoría seleccionada.</t>
  </si>
  <si>
    <t>Al dar click al botón "+ Nuevo" el sistema debe abrir un nuevo modal con un campo "Nombre de Categoría" para añadir una nueva categoría, junto con los botones "X" para cerrar el modal, "Cancelar" para también cerrar el modal y el botón "Crear".</t>
  </si>
  <si>
    <t>Al dar click sobre el botón "Crear" y los datos sean válidos el sistema debe agregar la categoría a la vista de categorías y debe agregar la categoría al modal de "Administrar Categorías", y volver a dejar la vista de "Administrar Categorías".</t>
  </si>
  <si>
    <t>Al dar click sobre el botón "Editar", el sistema debe abrir un nuevo modal para editar el nombre de la categoría existente, junto a los botones "X" y "Cancelar" para cerrar el modal y el botón "Actualizar" para guardar los cambios realizados.</t>
  </si>
  <si>
    <t>Al dar click sobre el botón "Eliminar", el sistema debe eliminar de la vista la categoría seleccionada, si no depende de registros, si depende de registros el sistema no debe dejar borrar la categoría.</t>
  </si>
  <si>
    <t>Al entrar a la sección de historial, el sistema debe mostrar el título "Historial de Movimientos", con el mensaje "Seleccione el tipo de historial que desea consultar.".</t>
  </si>
  <si>
    <t>El sistema debe desplegar una vista de tarjetas con el tipo de historial que maneja el sistema.</t>
  </si>
  <si>
    <t>Al dar click sobre una tarjeta el sistema debe abrir un nuevo menú correspondiente a la tarjeta que se seleccionó.</t>
  </si>
  <si>
    <t>Dentro de la tarjeta "Movimientos Materia Prima", debe existir una flecha "&lt;-" para regresar a la sección de historial junto con un contador al otro extremo de la flecha, que muestre todos los registros actuales.</t>
  </si>
  <si>
    <t>Esta sección de historial de materia prima, debe contar con una barra de búsqueda predictiva, para buscar materia o proveedor, junto con filtros para seleccionar rangos del mes del año actual y para filtrar por fecha desde - hasta, funcionales.</t>
  </si>
  <si>
    <t>Los registros deben incluir un ícono indicativo del movimiento, su nombre, el proveedor, la fecha del movimiento, un indicativo con color según movimiento, indicador de cantidad por unidad de medida y sus observaciones.</t>
  </si>
  <si>
    <t>El sistema debe incluir un scroll funcional para los registros.</t>
  </si>
  <si>
    <t>Las imágenes de las tarjetas de selección deben tener un tamaño de 100x100px y estar dentro de un contenedor circular blanco.</t>
  </si>
  <si>
    <t>El título de la tarjeta de selección debe utilizar mayúsculas sostenidas y un peso de fuente de 800 (Extra Bold).</t>
  </si>
  <si>
    <t>El hover de las tarjetas de selección debe aplicar un transform: scale(1.02) y una sombra azulada de rgba(54, 73, 143, 0.2).</t>
  </si>
  <si>
    <t>Las tarjetas de kits individuales deben mostrar un badge de disponibilidad en la esquina superior derecha con fondo blanco opaco (0.9).</t>
  </si>
  <si>
    <t>El encabezado de la gestión de instrumentos debe tener un padding de 20px y una animación de entrada 'fadeIn' de 0.3s.</t>
  </si>
  <si>
    <t>Los botones de acción en las tarjetas (Lápiz, Basura) deben tener una opacidad de 1 y ser siempre visibles.</t>
  </si>
  <si>
    <t>La tabla de datos debe tener encabezados pegajosos (sticky) con un z-index de 10 para facilitar el scroll.</t>
  </si>
  <si>
    <t>El color de la fila de encabezado en la tabla de instrumental debe coincidir con el color de la tarjeta de selección (#36498f).</t>
  </si>
  <si>
    <t>Los modales detallados deben cargar la imagen del instrumento con un tamaño máximo de 250px de altura.</t>
  </si>
  <si>
    <t>El scroll de la vista de kits debe ser vertical y suave, aplicado al contenedor principal .a2.</t>
  </si>
  <si>
    <t>(UI / UX) La vista de selección debe utilizar tarjetas con el color institucional azul para "Instrumentos" y verde para "Kits".</t>
  </si>
  <si>
    <t>(USABILIDAD) La barra de búsqueda de instrumentos debe tener un ícono de lupa posicionado a 15px a la izquierda del input.</t>
  </si>
  <si>
    <t>El sistema debe filtrar los resultados automáticamente al ingresar texto, sin presionar "Enter".</t>
  </si>
  <si>
    <t>Los procesos de edición deben cargar datos previos en los campos del formulario automáticamente.</t>
  </si>
  <si>
    <t>El campo "Cantidad Disponible" en instrumental debe resaltarse visualmente si el valor es 0.</t>
  </si>
  <si>
    <t>Los kits deben validar un contenido mínimo de 3 instrumentos y un máximo de 10 instrumentos vinculados.</t>
  </si>
  <si>
    <t>El botón "Agregar Instrumento" en el modal de kits debe añadir dinámicamente campos de selección al formulario.</t>
  </si>
  <si>
    <t>Los botones de acción principal (Registrar) deben tener el color institucional verde #087d4e.</t>
  </si>
  <si>
    <t>(UI, UX) Los títulos de sección deben utilizar la fuente 'Segoe UI' con un tamaño de 1.4rem y color #36498f.</t>
  </si>
  <si>
    <t>El botón flotante de "Administrar Categorías" debe tener un índice de elevación z-index de 900.</t>
  </si>
  <si>
    <t>Las tarjetas de categorías deben tener un redondeo de bordes (border-radius) de 15px.</t>
  </si>
  <si>
    <t>El contenedor "materia-prima-root" debe tener un padding superior de 100px para evitar solapamiento con el header.</t>
  </si>
  <si>
    <t>La animación de entrada de las vistas debe ser 'fadeIn' con una duración de 0.4s y curva 'ease-out'.</t>
  </si>
  <si>
    <t>En el listado de categorías, el gap entre tarjetas debe ser de exactamente 25px.</t>
  </si>
  <si>
    <t>Permitir actualizar precios de productos.</t>
  </si>
  <si>
    <t>El sistema cumple con normativas locales e internacionales, como las leyes de protección de datos personales.</t>
  </si>
  <si>
    <t>Indicador visual de fortaleza de contraseña (Falta una mayúscula, Falta un número, etc).</t>
  </si>
  <si>
    <t>Enlace a términos y condiciones en nueva ventana.</t>
  </si>
  <si>
    <t>El Dashboard debe reordenar las tarjetas en botones simples en la parte inferior al ser visto desde tablets.</t>
  </si>
  <si>
    <t>El sistema debe permitir registrar información sobre los productos disponibles, con su respectiva descripción, categoría, precio, cantidad y fotografías del instrumental.</t>
  </si>
  <si>
    <t>NO SIRVE</t>
  </si>
  <si>
    <t>Raise exception</t>
  </si>
  <si>
    <t>Y si son varios? Solo deja facturar 1</t>
  </si>
  <si>
    <t>Realizar el mismo mecanismo de crear kits</t>
  </si>
  <si>
    <t>?</t>
  </si>
  <si>
    <t>Mensaje "Iniciando..." al presionar botón login</t>
  </si>
  <si>
    <t>El sistema debe mostrar un menú lateral izquierdo funcional con los accesos directos a "Instrumental", "Materia Prima", "Productos", "Finanzas","Historial".</t>
  </si>
  <si>
    <t>Botón "Finanzas" redirecciona a la gestión de las finanzas de la empresa.</t>
  </si>
  <si>
    <t>Botón "Productos" redirecciona a la gestión de los productos comerciales.</t>
  </si>
  <si>
    <t>Opción "Notificaciones", abre un modal que muestra de manera rápida si hay o no productos / materias primas que se encuentran en bajo stock.</t>
  </si>
  <si>
    <t>Opción "Ayuda y Soporte" abre un modal con los datós básicos de contacto de los desarrolladores del sistema.</t>
  </si>
  <si>
    <t>Las insignias de "Bajo Stock" en las tarjetas de instrumental deben ser de color rojo #dc3545.</t>
  </si>
  <si>
    <t>REQUERIMIENTOS FUNCIONALES DE LA GESTIÓN DE PRODUCTOS DENTRO DE LA PÁGINA WEB</t>
  </si>
  <si>
    <t>REQUERIMIENTOS NO FUNCIONALES DE LA GESTIÓN DE PRODUCTOS DENTRO DE LA PÁGINA WEB</t>
  </si>
  <si>
    <t>REQUERIMIENTOS NO FUNCIONALES DE LA GESTIÓN DE FINANZAS DENTRO DE LA PÁGINA WEB</t>
  </si>
  <si>
    <t>REQUERIMIENTOS FUNCIONALES DE LA GESTIÓN DE FINANZAS DENTRO DE LA PÁGINA WEB</t>
  </si>
  <si>
    <t>La tarjeta "Productos en inventario" al hacer click sobre ella, el sistema debe redirigir al menú "Productos" para realizar la gestión correspondiente.</t>
  </si>
  <si>
    <t>El sistema muestra una barra de búsqueda funcional, junto con filtros para buscar productos "Habilitados" o "Inhabilitados" y para filtrar por si son "Instrumentos" o "Kits".</t>
  </si>
  <si>
    <t>En la parte derecha de la barra de búsqueda el sistema muestra el botón "Agregar Nuevo".</t>
  </si>
  <si>
    <t>"Agregar Nuevo" tiene los campos "Nombre del Producto", "Precio de venta", "Imagen del Producto", "Tipo de item" y el campo "Buscar Instrumento/Kit" según la selección del "Tipo de item". Junto con los botones "Cancelar" y "Guardar".</t>
  </si>
  <si>
    <t>Al envíar el form, el sistema muestra un Sweet Alert "Cargando" verificando los datos, si todo sale bien el sistema muestra un Sweet Alert de éxito, si algo sale mal el sistema muestra un Sweet Alert de error con el mensaje específico.</t>
  </si>
  <si>
    <t>El sistema desplega una vista de tarjetas de los productos comerciales creados, las tarjetas contienen, campo para imagen, su precio, su nombre, su tipo (Instrumento / Kit), su referente específico, el lápiz para editar y la basura para inhabilitar el registro.</t>
  </si>
  <si>
    <t>El sistema filtra según la selección del usuario, por defecto carga los productos "Habilitados", al darle click al botón "Inhabilitados" el sistema procede a cargar los productos inhabilitados.</t>
  </si>
  <si>
    <t>Al inhabilitar un producto, este pasará al menú de inhabilitados y se dejará de mostrar en la landing como producto comercial.</t>
  </si>
  <si>
    <t>Los productos inhabilitados tienen el ícono de la basurita, pero en color verde y una flecha hacia arriba, indicando que puedes restaurar el registro.</t>
  </si>
  <si>
    <t>Si el usuario desea restaurar un producto, el sistema muestra un Sweet Alert de confirmación, tras confirmar el sistema muestra un nuevo Sweet Alert de éxito.</t>
  </si>
  <si>
    <t>Si el usuario desea inhabilitar un producto, el sistema muestra un Sweet Alert de confirmación, tras confirmar la inhabilitación, el sistema muestra un Sweet Alert de éxito.</t>
  </si>
  <si>
    <t>Al dar click sobre el botón del "Lápiz" el sistema muestra el modal de edición con los campos "Nombre del producto", "Precio de venta", "Imagen del Producto", "Tipo de item" y "Buscar Instrumento / kit".</t>
  </si>
  <si>
    <t>Tras actualización exitosa, el sistema muestra primero un Sweet Alert "Cargando", para si todo salió bien, el sistema mostrará un Sweet Alert de éxito. De lo contrario el sistema mostrará un Sweet Alert rojo indicando el error</t>
  </si>
  <si>
    <t>* Requerimientos Productos</t>
  </si>
  <si>
    <t>* Requerimientos Finanzas</t>
  </si>
  <si>
    <t>Scroll funcional en el menú de productos.</t>
  </si>
  <si>
    <t>Al entrar al menú "Finanzas" el botón de este menú debe resaltar ligeramente sobre los otros.</t>
  </si>
  <si>
    <t>El sistema muestra un título y subtitulo resumiendo la funcionalidad del menú.</t>
  </si>
  <si>
    <t>En la parte superior de la derecha el sistema tiene un sistema de filtros funcionales por fecha mensual y anual.</t>
  </si>
  <si>
    <t>El sistema carga las tarjetas "Ingresos Mensuales", "Utilidad Neta del Mes", "Tasa de Retorno", "Alertas de Reabastecimiento".</t>
  </si>
  <si>
    <t>En la parte superior derecha el sistema tiene el botón "Exportar Excel", que descarga un excel con la siguiente información: "ID Factura, Fecha, Mes, Productos, Comprados, Cliente, Total, Medio de Pago.", según la fecha seleccionada.</t>
  </si>
  <si>
    <t>En caso de que no haya registros en la fecha seleccionada, el sistema muestra una sweet alert con el texto "Atención, No hay datos detallados para el periodo seleccionado.", y no descarga ningún excel.</t>
  </si>
  <si>
    <t>Debajo de las tarjetas principiales, el sistema mostrara el "Ticket Promedio Por Especialidad" en la parte izquierda de la página, el sistema calcula automáticamente el valor promedio de las transacciones agrupadas por especialidad odontológica (Endodoncia, Periodoncia, etc.) en un periodo de tiempo determinado.</t>
  </si>
  <si>
    <t>En la parte derecha, el sistema mostrara un pastel que se llena automáticamente con los medios de pago seleccionados, en el momento de registrar una venta.</t>
  </si>
  <si>
    <t>En la parte inferior de la sección de finanzas, el sistema muestra las "Previsiones de Compra (Stock Crítico)", que, al momento que la cantidad de una materia prima esté igual o menor al stock crítico, se mostrará en esta sección inferior con la posibilidad de mandar un mensaje de whatsapp al proveedor específico.</t>
  </si>
  <si>
    <t>El título "Análisis Financiero..." debe usar el color institucional --welcome-blue (#36498f).</t>
  </si>
  <si>
    <t>El tamaño de fuente del título principal debe ser exactamente de 1.8rem.</t>
  </si>
  <si>
    <t>El contenedor principal de finanzas debe usar el color de fondo --bg-primary (#f5f7fa).</t>
  </si>
  <si>
    <t>El contenedor general debe tener un padding uniforme de 30px en todos sus lados.</t>
  </si>
  <si>
    <t>Al cargar el módulo, debe ejecutarse una animación fadeIn con una duración de 0.5s.</t>
  </si>
  <si>
    <t>El grupo de filtros (mes/año) debe tener bordes redondeados tipo píldora de 30px.</t>
  </si>
  <si>
    <t>Los selectores de fecha deben proyectar una sombra suave definida por la variable --card-shadow.</t>
  </si>
  <si>
    <t>El botón "Exportar Excel" debe usar un color verde sólido #087d4e con texto en blanco y negrita.</t>
  </si>
  <si>
    <t>Las tarjetas de KPI y gráficos deben tener un border-radius de 20px para un aspecto moderno.</t>
  </si>
  <si>
    <t>El icono de "Utilidad Neta" debe usar un color verde esmeralda para denotar éxito financiero.</t>
  </si>
  <si>
    <t>La tarjeta de "Tasa de Retorno" debe usar el color de advertencia naranja #f59e0b.</t>
  </si>
  <si>
    <t>El gráfico de medios de pago debe tener un diámetro de 200px con un hueco central de 140px.</t>
  </si>
  <si>
    <t>El medio de pago "Efectivo" debe representarse visualmente con el azul oscuro #36498f.</t>
  </si>
  <si>
    <t>El medio de pago "Transferencia" debe representarse visualmente con el verde #087d4e.</t>
  </si>
  <si>
    <t>El medio de pago "Tarjeta" debe representarse visualmente con el naranja vibrante #f59e0b.</t>
  </si>
  <si>
    <t>Las barras de ticket promedio deben tener una altura de 12px y un degradado de azul a verde.</t>
  </si>
  <si>
    <t>Las barras de especialidad deben animar su ancho en 1s usando una curva cubic-bezier.</t>
  </si>
  <si>
    <t>El botón de contacto al proveedor debe usar el color oficial de WhatsApp #25d366 y ser circular.</t>
  </si>
  <si>
    <t>Mientras los datos financieros cargan, debe mostrarse un icono fa-spinner animado con fa-spin.</t>
  </si>
  <si>
    <t>La rejilla de indicadores debe ser auto-ajustable (auto-fit) con un ancho mínimo por tarjeta de 240px.</t>
  </si>
  <si>
    <t>El sistema debe manejar valores de tipo DECIMAL(15,2) en la base de datos para evitar errores de redondeo en los cálculos de ingresos y utilidad.</t>
  </si>
  <si>
    <t>Todas las cifras monetarias deben mostrarse en formato COP (Peso Colombiano) usando la API Intl.NumberFormat de JavaScript para asegurar la correcta lectura (ej: $ 1.000.000).</t>
  </si>
  <si>
    <t>El archivo generado por la librería SheetJS debe ser compatible con Microsoft Excel 2013 en adelante y LibreOffice Calc.</t>
  </si>
  <si>
    <t xml:space="preserve"> El sistema debe impedir la descarga del reporte si la consulta retorna cero registros, notificando al usuario mediante una alerta informativa.</t>
  </si>
  <si>
    <t>Al cambiar el mes o año en los filtros, todas las gráficas y tarjetas de KPI deben actualizarse simultáneamente en menos de 1 segundo.</t>
  </si>
  <si>
    <t>El sistema debe resaltar visualmente en rojo (#dc3545) si el margen de utilidad calculado es inferior al 15%, como medida de alerta financiera.</t>
  </si>
  <si>
    <t>Los archivos Excel generados no deben guardarse en el servidor, sino descargarse directamente al equipo del usuario para proteger la privacidad financiera.</t>
  </si>
  <si>
    <t>Mover de lugar a materias primas</t>
  </si>
  <si>
    <t>Mover a materia prima</t>
  </si>
  <si>
    <t xml:space="preserve"> Las tarjetas deben tener un box-shadow de 0 10px 30px var(--card-shadow) que cambie al hacer hover.</t>
  </si>
  <si>
    <t>Cada tarjeta debe incluir un borde inferior de 5px con el color institucional del área que representa.</t>
  </si>
  <si>
    <t>Los iconos de fondo en las tarjetas deben estar rotados y escalados con transform: translate(10%, 20%) y opacidad de 0.05.</t>
  </si>
  <si>
    <t>La vista raíz debe cargar con la clase kardex-slide-in-up (duración 0.5s).</t>
  </si>
  <si>
    <t xml:space="preserve"> Al cargar cualquier historial, el sistema debe eliminar automáticamente cualquier Botón de Acción Flotante (FAB) residual de otros módulos.</t>
  </si>
  <si>
    <t>Los nombres de las tarjetas deben usar var(--text-main) para asegurar legibilidad en modo claro y oscuro.</t>
  </si>
  <si>
    <t>El botón de "atrás" debe tener un degradado de azul a verde y forma circular (40x40px).</t>
  </si>
  <si>
    <t xml:space="preserve"> Los encabezados (th) deben ser blancos con texto negro y borde inferior sutil (rgba(0,0,0,0.1)).</t>
  </si>
  <si>
    <t>La tabla de bodega debe tener un max-height de 60vh con overflow-y: auto.</t>
  </si>
  <si>
    <t>Cada registro de fecha debe ir acompañado del icono fa-regular fa-clock en color gris mutado.</t>
  </si>
  <si>
    <t xml:space="preserve"> Si no hay imagen, debe mostrarse un cuadro gris de 30x30px con un icono fa-box.</t>
  </si>
  <si>
    <t>El número de lote debe aparecer dentro de un recuadro con fondo var(--bg-primary) y bordes de 6px.</t>
  </si>
  <si>
    <t>La cantidad debe resaltar con un font-size de 1.15em en negrita.</t>
  </si>
  <si>
    <t>Debajo de la cantidad debe aparecer la unidad de medida (ej: "Metros") en una fuente de 0.75em.</t>
  </si>
  <si>
    <t xml:space="preserve"> La búsqueda debe ignorar mayúsculas/minúsculas (toLowerCase) al comparar material o proveedor.</t>
  </si>
  <si>
    <t>Cada material en esta vista debe llevar un distintivo que diga "(En proceso)" con opacidad reducida.</t>
  </si>
  <si>
    <t>La última columna debe mostrar obligatoriamente la fecha en que el material salió de bodega inicial.</t>
  </si>
  <si>
    <t>Se debe utilizar el icono fa-solid fa-industry para representar la fábrica.</t>
  </si>
  <si>
    <t>La fecha de ingreso a producción debe aparecer en color verde sólido y negrita.</t>
  </si>
  <si>
    <t>La tabla completa debe aparecer con un efecto de fadeIn de 0.6s.</t>
  </si>
  <si>
    <t>Las celdas de "Cantidad en Línea" deben estar alineadas a la izquierda pero con estructura de columna interna.</t>
  </si>
  <si>
    <r>
      <rPr>
        <b/>
        <sz val="11"/>
        <color theme="1"/>
        <rFont val="Aptos Narrow"/>
        <family val="2"/>
      </rPr>
      <t>(Bodega Inicial)</t>
    </r>
    <r>
      <rPr>
        <sz val="11"/>
        <color theme="1"/>
        <rFont val="Aptos Narrow"/>
      </rPr>
      <t xml:space="preserve"> El borde de acento y los títulos de Bodega deben usar el azul oscuro --welcome-blue (#36498f).</t>
    </r>
  </si>
  <si>
    <r>
      <rPr>
        <b/>
        <sz val="11"/>
        <color theme="1"/>
        <rFont val="Aptos Narrow"/>
        <family val="2"/>
      </rPr>
      <t>(Navegación)</t>
    </r>
    <r>
      <rPr>
        <sz val="11"/>
        <color theme="1"/>
        <rFont val="Aptos Narrow"/>
      </rPr>
      <t xml:space="preserve"> El contenedor de selección debe usar display: grid con un ancho mínimo por tarjeta de 320px.</t>
    </r>
  </si>
  <si>
    <r>
      <rPr>
        <b/>
        <sz val="11"/>
        <color theme="1"/>
        <rFont val="Aptos Narrow"/>
        <family val="2"/>
      </rPr>
      <t>(Línea de Producción)</t>
    </r>
    <r>
      <rPr>
        <sz val="11"/>
        <color theme="1"/>
        <rFont val="Aptos Narrow"/>
      </rPr>
      <t xml:space="preserve"> El color predominante para esta sección es el Verde Producción (#087d4e).</t>
    </r>
  </si>
  <si>
    <r>
      <rPr>
        <b/>
        <sz val="11"/>
        <color theme="1"/>
        <rFont val="Aptos Narrow"/>
        <family val="2"/>
      </rPr>
      <t>(Kardex de Insumos)</t>
    </r>
    <r>
      <rPr>
        <sz val="11"/>
        <color theme="1"/>
        <rFont val="Aptos Narrow"/>
        <family val="2"/>
      </rPr>
      <t xml:space="preserve"> Se debe renderizar un pseudo-elemento vertical de 2px de ancho que conecte visualmente los iconos de cada movimiento.</t>
    </r>
  </si>
  <si>
    <t>Los iconos de movimiento deben tener un box-shadow de 0 4px 8px rgba(0,0,0,0.1).</t>
  </si>
  <si>
    <t>El movimiento de entrada debe usar el color #087d4e (Verde).</t>
  </si>
  <si>
    <t xml:space="preserve"> El movimiento de salida debe usar el color #ff9800 (Naranja).</t>
  </si>
  <si>
    <t xml:space="preserve"> El movimiento de ajuste debe usar el color #2196f3 (Azul).</t>
  </si>
  <si>
    <t xml:space="preserve"> El movimiento de baja por daño debe usar el color #f44336 (Rojo).</t>
  </si>
  <si>
    <t>Al pasar el mouse sobre una tarjeta de Kardex, esta debe subir 3px (translateY).</t>
  </si>
  <si>
    <t>Si el texto contiene "Proveedor:", el sistema debe separar lógicamente el nombre del proveedor del comentario.</t>
  </si>
  <si>
    <t>Cada tarjeta debe aparecer con un retraso escalonado (animation-delay) de 0.02s respecto a la anterior.</t>
  </si>
  <si>
    <t>El selector de mes debe filtrar exclusivamente sobre el año actual del sistema.</t>
  </si>
  <si>
    <t>Las fechas deben convertirse a formato largo (ej: "25 de Abril de 2026, 10:30 AM").</t>
  </si>
  <si>
    <r>
      <rPr>
        <b/>
        <sz val="11"/>
        <color theme="1"/>
        <rFont val="Aptos Narrow"/>
        <family val="2"/>
      </rPr>
      <t xml:space="preserve">(Fabricación Instrumental y Ensamblaje de Kits) </t>
    </r>
    <r>
      <rPr>
        <sz val="11"/>
        <color theme="1"/>
        <rFont val="Aptos Narrow"/>
        <family val="2"/>
      </rPr>
      <t>Estos datos son obligatorios y deben aparecer con etiquetas en negrita (color: var(--text-muted)).</t>
    </r>
  </si>
  <si>
    <t>Las miniaturas deben ser circulares o con bordes muy suaves (4px) para no romper la estética.</t>
  </si>
  <si>
    <t>La especialización (Endodoncia, etc.) debe aparecer en una fuente de peso 500.</t>
  </si>
  <si>
    <t>Icono de Ensamblaje: Uso del icono fa-solid fa-cubes en color púrpura (#8b5cf6).</t>
  </si>
  <si>
    <t>Icono de Fabricación: Uso del icono fa-solid fa-hammer en color ámbar (#f59e0b).</t>
  </si>
  <si>
    <t>Las cantidades fabricadas deben llevar un prefijo + para indicar ingreso al stock de productos finales.</t>
  </si>
  <si>
    <r>
      <rPr>
        <b/>
        <sz val="11"/>
        <color theme="1"/>
        <rFont val="Aptos Narrow"/>
        <family val="2"/>
      </rPr>
      <t xml:space="preserve">(Historial de Ventas y Devoluciones) </t>
    </r>
    <r>
      <rPr>
        <sz val="11"/>
        <color theme="1"/>
        <rFont val="Aptos Narrow"/>
        <family val="2"/>
      </rPr>
      <t>Solo en la vista de Devoluciones debe aparecer el botón rojo de "Gestionar Productos".</t>
    </r>
  </si>
  <si>
    <t>La columna de factura debe tener un color ámbar (#d97706) para resaltar como enlace de referencia.</t>
  </si>
  <si>
    <t>Las ventas deben mostrar la cantidad con signo - y color rojo.</t>
  </si>
  <si>
    <t>Las devoluciones resueltas deben mostrar la cantidad con signo + y color verde.</t>
  </si>
  <si>
    <t>El campo de observaciones debe incluir un title para que el usuario pueda leer el texto completo al posar el mouse.</t>
  </si>
  <si>
    <t>Ordenamiento: Al hacer clic en "N° Factura", el icono debe cambiar entre fa-sort-up y fa-sort-down.</t>
  </si>
  <si>
    <t>Se debe mostrar tanto el nombre como el ID del instrumento o kit involucrado.</t>
  </si>
  <si>
    <r>
      <rPr>
        <b/>
        <sz val="11"/>
        <color theme="1"/>
        <rFont val="Aptos Narrow"/>
        <family val="2"/>
      </rPr>
      <t>(Gestión de Devoluciones)</t>
    </r>
    <r>
      <rPr>
        <sz val="11"/>
        <color theme="1"/>
        <rFont val="Aptos Narrow"/>
        <family val="2"/>
      </rPr>
      <t xml:space="preserve">  Los botones de "Reparado" y "Desechar" deben tener un ancho uniforme y usar iconos de fa-wrench y fa-trash-can.</t>
    </r>
  </si>
  <si>
    <t>El botón de "Reparado" debe usar el color esmeralda (#10b981).</t>
  </si>
  <si>
    <t>El botón de "Desechar" debe usar el color gris neutro (#6b7280).</t>
  </si>
  <si>
    <t>Al "Reparar", el sistema debe enviar un comando SQL que incremente el stock del producto original.</t>
  </si>
  <si>
    <t>req funcional</t>
  </si>
  <si>
    <t xml:space="preserve"> Al "Desechar", el registro se marca como resuelto pero no altera las cantidades del inventario.</t>
  </si>
  <si>
    <t xml:space="preserve"> La tabla debe recargarse inmediatamente después de cada resolución exitosa.</t>
  </si>
  <si>
    <t>Se debe enviar el id_factura de forma limpia para que el generador PHP la reconozca.</t>
  </si>
  <si>
    <t>El botón "Ver Factura" debe tener un icono de fa-file-invoice y fondo verde oscuro.</t>
  </si>
  <si>
    <t>Cada sección tiene su propio endpoint: get_bodega, get_produccion, get_kardex_instrumentos, etc.</t>
  </si>
  <si>
    <t>Si el servidor devuelve un error, se debe mostrar un icono de advertencia (fa-triangle-exclamation) en lugar de una tabla vacía.</t>
  </si>
  <si>
    <t xml:space="preserve"> Si no hay resultados, se debe mostrar un mensaje amigable con un icono de carpeta abierta (opacity: 0.3).</t>
  </si>
  <si>
    <t>Todas las peticiones deben incluir un timestamp (t=...) para evitar que el navegador guarde en caché datos obsoletos.</t>
  </si>
  <si>
    <t>El sistema usa preferiblemente 'Segoe UI' o la fuente del sistema para máxima claridad en los números.</t>
  </si>
  <si>
    <t>Los botones de resolución deben estar deshabilitados (disabled) mientras la petición está en curso para evitar doble clic.</t>
  </si>
  <si>
    <t>Se debe usar un spinner de FontAwesome (fa-spinner fa-spin) de tamaño 2x o 4x durante la espera de datos.</t>
  </si>
  <si>
    <t>el sistema es de admin</t>
  </si>
  <si>
    <t>funcional en los demas menus excepto en las tarjetas principales</t>
  </si>
  <si>
    <t>requerimiento de materia prima</t>
  </si>
  <si>
    <r>
      <rPr>
        <b/>
        <sz val="11"/>
        <color theme="1"/>
        <rFont val="Aptos Narrow"/>
        <family val="2"/>
      </rPr>
      <t>(Técnicos, UX y Rendimiento Global)</t>
    </r>
    <r>
      <rPr>
        <sz val="11"/>
        <color theme="1"/>
        <rFont val="Aptos Narrow"/>
        <family val="2"/>
      </rPr>
      <t xml:space="preserve"> Todo el módulo debe consumir variables como --bg-secondary y --card-shadow para soportar Dark Mode.</t>
    </r>
  </si>
  <si>
    <t>La cabecera de la factura debe incluir un borde superior con un degradado lineal (linear-gradient) de azul institucional (#36498f) a verde esmeralda (#087d4e).</t>
  </si>
  <si>
    <r>
      <rPr>
        <b/>
        <sz val="11"/>
        <color theme="1"/>
        <rFont val="Aptos Narrow"/>
        <family val="2"/>
      </rPr>
      <t>(Visualización de Factura)</t>
    </r>
    <r>
      <rPr>
        <sz val="11"/>
        <color theme="1"/>
        <rFont val="Aptos Narrow"/>
        <family val="2"/>
      </rPr>
      <t xml:space="preserve"> La factura debe cargarse siempre en una nueva ventana del navegador para no perder el contexto del historial.</t>
    </r>
  </si>
  <si>
    <t>El título principal "FACTURA COMERCIAL" debe usar el color verde (#087d4e) en negrita y alineación derecha.</t>
  </si>
  <si>
    <t>Los datos informativos de la empresa (Dirección, Teléfono, Email) deben usar un color gris neutro (#666) con iconos de FontAwesome alineados.</t>
  </si>
  <si>
    <t xml:space="preserve"> Los encabezados de sección ("FACTURADO A:", "INFORMACIÓN DE PAGO:") deben estar en mayúsculas, color gris y con una línea divisoria inferior de 1px.</t>
  </si>
  <si>
    <t xml:space="preserve"> Los nombres de clientes y métodos de pago deben resaltar en color azul oscuro/negro (#333) y peso de fuente 700.</t>
  </si>
  <si>
    <t>El encabezado de la tabla de productos debe tener un fondo azul oscuro (#36498f) con texto en blanco para alto contraste.</t>
  </si>
  <si>
    <t>Las columnas de cantidad, precio y total deben estar alineadas a la derecha o centro para facilitar la lectura de cifras.</t>
  </si>
  <si>
    <t xml:space="preserve"> El desglose de "Contenido del Kit" debe aparecer dentro de un recuadro con un borde izquierdo de 3px color verde y fondo gris muy tenue.</t>
  </si>
  <si>
    <t xml:space="preserve"> Los elementos dentro de un kit deben usar un icono de caja (fa-box) y fuente de tamaño 0.85rem.</t>
  </si>
  <si>
    <t>El campo "Total Factura" debe usar una fuente de tamaño superior (1.4rem) y color azul profundo para ser el foco visual del cierre.</t>
  </si>
  <si>
    <t xml:space="preserve"> El botón de "Imprimir / Descargar PDF" debe estar fijo en la esquina inferior derecha (position: fixed) para no estorbar la lectura.</t>
  </si>
  <si>
    <t>Al pasar el cursor sobre el botón de imprimir, este debe elevarse suavemente (transform: translateY(-2px)) y aumentar su sombra.</t>
  </si>
  <si>
    <t>El documento debe mantener un margen interno (padding) de al menos 40px para simular una hoja física.</t>
  </si>
  <si>
    <t xml:space="preserve"> El logo de la empresa debe estar posicionado en la esquina superior izquierda con un tamaño máximo de 180px de ancho.</t>
  </si>
  <si>
    <t>La página debe usar la directiva CSS @media print para ocultar botones y fondos innecesarios al momento de generar el PDF físico.</t>
  </si>
  <si>
    <r>
      <rPr>
        <b/>
        <sz val="11"/>
        <color theme="1"/>
        <rFont val="Aptos Narrow"/>
        <family val="2"/>
      </rPr>
      <t>(Estética y Diseño Visual (UI/UX))</t>
    </r>
    <r>
      <rPr>
        <sz val="11"/>
        <color theme="1"/>
        <rFont val="Aptos Narrow"/>
      </rPr>
      <t xml:space="preserve"> El área de trabajo debe usar un fondo gris muy claro o blanco hueso (#f4f6f9) para dar sensación de limpieza y amplitud.</t>
    </r>
  </si>
  <si>
    <t>El título "Inventario de Productos" debe usar una fuente en color azul marino oscuro (#1e3a8a o similar).</t>
  </si>
  <si>
    <t>Todo el bloque de herramientas y tarjetas debe estar contenido en un gran panel blanco con bordes redondeados (15px) y una sombra sutil.</t>
  </si>
  <si>
    <t>El buscador debe tener un fondo gris claro suave (#f1f5f9), sin bordes fuertes, y un radio de esquina de 50px.</t>
  </si>
  <si>
    <t>El nombre del producto debe ir en color negro o gris oscuro (#1e293b) con peso 700 para máxima legibilidad.</t>
  </si>
  <si>
    <r>
      <rPr>
        <b/>
        <sz val="11"/>
        <color theme="1"/>
        <rFont val="Aptos Narrow"/>
        <family val="2"/>
      </rPr>
      <t xml:space="preserve">Botones, Filtros y Píldoras (Interacciones) </t>
    </r>
    <r>
      <rPr>
        <sz val="11"/>
        <color theme="1"/>
        <rFont val="Aptos Narrow"/>
        <family val="2"/>
      </rPr>
      <t>Botón Agregar Nuevo: Debe resaltar en color azul marino oscuro con texto blanco, ubicado estratégicamente a la derecha del buscador.</t>
    </r>
  </si>
  <si>
    <r>
      <rPr>
        <b/>
        <sz val="11"/>
        <color theme="1"/>
        <rFont val="Aptos Narrow"/>
        <family val="2"/>
      </rPr>
      <t xml:space="preserve">(Tarjetas de Producto (Cards Grid)) </t>
    </r>
    <r>
      <rPr>
        <sz val="11"/>
        <color theme="1"/>
        <rFont val="Aptos Narrow"/>
        <family val="2"/>
      </rPr>
      <t>Cada tarjeta debe tener fondo blanco puro (#ffffff), con un borde muy sutil (1px solid #e2e8f0) y esquinas redondeadas.</t>
    </r>
  </si>
  <si>
    <t>Las tarjetas deben tener un efecto de elevación mediante box-shadow: 0 4px 6px rgba(0,0,0,0.05).</t>
  </si>
  <si>
    <t>El precio debe estar incrustado en una cápsula azul con texto blanco, posicionada sobre la esquina inferior derecha de la imagen.</t>
  </si>
  <si>
    <t>El botón de edición debe ser un icono de lápiz azul sin fondo (o fondo transparente) para no sobrecargar la vista.</t>
  </si>
  <si>
    <t>El botón de eliminar/inhabilitar debe ser una papelera blanca sobre un fondo rojo sólido con esquinas redondeadas.</t>
  </si>
  <si>
    <r>
      <rPr>
        <b/>
        <sz val="11"/>
        <color theme="1"/>
        <rFont val="Aptos Narrow"/>
        <family val="2"/>
      </rPr>
      <t xml:space="preserve">(Lógica de Interfaz) </t>
    </r>
    <r>
      <rPr>
        <sz val="11"/>
        <color theme="1"/>
        <rFont val="Aptos Narrow"/>
        <family val="2"/>
      </rPr>
      <t>Al pasar el cursor sobre una tarjeta, esta debe aplicar una transición suave (transition: 0.3s) y aumentar ligeramente su sombra.</t>
    </r>
  </si>
  <si>
    <t>Alternar entre "Instrumentos" y "Kits" debe actualizar la cuadrícula en un tiempo menor a 200ms.</t>
  </si>
  <si>
    <t>Habilitados (ACTIVO) - Fondo: Azul marino sólido. Texto e Icono: Blanco. Icono: fa-circle-check (Check).</t>
  </si>
  <si>
    <t>Habilitados (INACTIVO) - Fondo: Blanco puro. Borde: Azul marino (1px solid). Texto e Icono: Azul marino. Icono: fa-circle-check sin rellenar.</t>
  </si>
  <si>
    <t>Los filtros funcionan como un botón de opción (Radio). Al activar uno, el otro pasa automáticamente a estado INACTIVO.</t>
  </si>
  <si>
    <t>Inhabilitados (ACTIVO) - Fondo: Rojo sólido (#ef4444). Texto e Icono: Blanco. Icono: fa-circle-xmark o similar.</t>
  </si>
  <si>
    <t>Inhabilitados (INACTIVO) - Fondo: Blanco puro. Borde: Rojo (1px solid #ef4444). Texto e Icono: Rojo. Icono: fa-circle-xmark sin rellenar.</t>
  </si>
  <si>
    <t>El texto fijo "Filtrando por:" debe aparecer en color gris neutro claro (#94a3b8) con un tamaño de fuente de 0.9rem.</t>
  </si>
  <si>
    <t>Junto al nombre de la categoría, debe renderizarse un botón circular pequeño.</t>
  </si>
  <si>
    <t>El fondo del botón de cierre debe ser Rojo Coral (#ff4d4d).</t>
  </si>
  <si>
    <t>En el centro del círculo rojo debe haber una "x" minúscula (font-weight: bold) en color blanco.</t>
  </si>
  <si>
    <t>Al hacer clic en el botón rojo con la "X", el sistema debe destruir el filtro de categoría activo, devolver la píldora a su estado original y renderizar de nuevo la lista completa de productos.</t>
  </si>
  <si>
    <t>Instrumentos (INACTIVO) - Fondo: Blanco puro (#ffffff), Borde: Azul/Púrpura claro (1px solid #3b82f6), Texto e Icono: Azul/Púrpura claro.
Icono: Icono de instrumental dental (fa-tooth o similar).</t>
  </si>
  <si>
    <t>Instrumentos (ACTIVO) - Fondo: Azul/Púrpura claro sólido, Borde: Azul/Púrpura claro sólido, Texto e Icono: Blanco puro (#ffffff).
Acción: Se activa el texto flotante "Filtrando por: Instrumentos [x]".</t>
  </si>
  <si>
    <t>Kits (ACTIVO) - Fondo: Verde Esmeralda sólido, Borde: Verde Esmeralda sólido, Texto e Icono: Blanco puro (#ffffff).
Acción: Se activa el texto flotante "Filtrando por: Kits [x]".</t>
  </si>
  <si>
    <t>Kits (INACTIVO) - Fondo: Blanco puro (#ffffff), Borde: Verde Esmeralda (1px solid #10b981), Texto e Icono: Verde Esmeralda.
Icono: Icono de botiquín/caja (fa-kit-medical o similar).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</si>
</sst>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scheme val="minor"/>
    </font>
    <font>
      <sz val="11"/>
      <color theme="1"/>
      <name val="Aptos Narrow"/>
      <family val="2"/>
      <scheme val="minor"/>
    </font>
    <font>
      <sz val="11"/>
      <color theme="1"/>
      <name val="Aptos Narrow"/>
      <family val="2"/>
      <scheme val="minor"/>
    </font>
    <font>
      <sz val="14"/>
      <color theme="1"/>
      <name val="Aptos Narrow"/>
    </font>
    <font>
      <sz val="11"/>
      <name val="Aptos Narrow"/>
    </font>
    <font>
      <u/>
      <sz val="14"/>
      <color theme="10"/>
      <name val="Aptos Narrow"/>
    </font>
    <font>
      <sz val="11"/>
      <color theme="1"/>
      <name val="Aptos Narrow"/>
    </font>
    <font>
      <u/>
      <sz val="14"/>
      <color theme="10"/>
      <name val="Aptos Narrow"/>
    </font>
    <font>
      <u/>
      <sz val="14"/>
      <color theme="10"/>
      <name val="Aptos Narrow"/>
    </font>
    <font>
      <u/>
      <sz val="14"/>
      <color theme="10"/>
      <name val="Aptos Narrow"/>
    </font>
    <font>
      <sz val="18"/>
      <color theme="1"/>
      <name val="Aptos Narrow"/>
    </font>
    <font>
      <u/>
      <sz val="14"/>
      <color rgb="FF467886"/>
      <name val="Arial"/>
    </font>
    <font>
      <u/>
      <sz val="11"/>
      <color theme="10"/>
      <name val="Aptos Narrow"/>
    </font>
    <font>
      <b/>
      <sz val="10"/>
      <color theme="1"/>
      <name val="Aptos Narrow"/>
    </font>
    <font>
      <sz val="10"/>
      <color theme="1"/>
      <name val="Aptos Narrow"/>
    </font>
    <font>
      <u/>
      <sz val="14"/>
      <color theme="10"/>
      <name val="Aptos Narrow"/>
    </font>
    <font>
      <sz val="10"/>
      <color theme="9"/>
      <name val="Noto Sans Symbols"/>
    </font>
    <font>
      <b/>
      <sz val="11"/>
      <color theme="1"/>
      <name val="Aptos Narrow"/>
    </font>
    <font>
      <sz val="12"/>
      <color theme="1"/>
      <name val="Aptos"/>
    </font>
    <font>
      <b/>
      <sz val="12"/>
      <color rgb="FF000000"/>
      <name val="Aptos"/>
    </font>
    <font>
      <sz val="12"/>
      <color rgb="FF000000"/>
      <name val="Aptos"/>
    </font>
    <font>
      <sz val="11"/>
      <color theme="1"/>
      <name val="Aptos Narrow"/>
      <scheme val="minor"/>
    </font>
    <font>
      <u/>
      <sz val="11"/>
      <color theme="1"/>
      <name val="Aptos Narrow"/>
    </font>
    <font>
      <u/>
      <sz val="14"/>
      <color theme="10"/>
      <name val="Aptos Narrow"/>
    </font>
    <font>
      <sz val="8"/>
      <color theme="1"/>
      <name val="Aptos Narrow"/>
    </font>
    <font>
      <u/>
      <sz val="11"/>
      <color theme="10"/>
      <name val="Aptos Narrow"/>
    </font>
    <font>
      <sz val="28"/>
      <color theme="9"/>
      <name val="Noto Sans Symbols"/>
    </font>
    <font>
      <u/>
      <sz val="11"/>
      <color theme="10"/>
      <name val="Aptos Narrow"/>
      <scheme val="minor"/>
    </font>
    <font>
      <sz val="11"/>
      <color theme="1"/>
      <name val="Aptos Narrow"/>
      <family val="2"/>
    </font>
    <font>
      <u/>
      <sz val="16"/>
      <color theme="10"/>
      <name val="Aptos Narrow"/>
      <family val="2"/>
    </font>
    <font>
      <u/>
      <sz val="14"/>
      <color theme="10"/>
      <name val="Aptos Narrow"/>
      <family val="2"/>
      <scheme val="minor"/>
    </font>
    <font>
      <b/>
      <sz val="11"/>
      <color theme="1"/>
      <name val="Aptos Narrow"/>
      <family val="2"/>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B3E5A1"/>
        <bgColor rgb="FFB3E5A1"/>
      </patternFill>
    </fill>
  </fills>
  <borders count="3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style="thin">
        <color rgb="FF747474"/>
      </left>
      <right/>
      <top style="thin">
        <color rgb="FF747474"/>
      </top>
      <bottom style="thin">
        <color rgb="FF747474"/>
      </bottom>
      <diagonal/>
    </border>
    <border>
      <left/>
      <right/>
      <top style="thin">
        <color rgb="FF747474"/>
      </top>
      <bottom style="thin">
        <color rgb="FF747474"/>
      </bottom>
      <diagonal/>
    </border>
    <border>
      <left/>
      <right style="thin">
        <color rgb="FF747474"/>
      </right>
      <top style="thin">
        <color rgb="FF747474"/>
      </top>
      <bottom style="thin">
        <color rgb="FF747474"/>
      </bottom>
      <diagonal/>
    </border>
    <border>
      <left style="thin">
        <color rgb="FF747474"/>
      </left>
      <right style="thin">
        <color rgb="FF747474"/>
      </right>
      <top style="thin">
        <color rgb="FF747474"/>
      </top>
      <bottom/>
      <diagonal/>
    </border>
    <border>
      <left style="thin">
        <color rgb="FF747474"/>
      </left>
      <right style="thin">
        <color rgb="FF747474"/>
      </right>
      <top style="thin">
        <color rgb="FF747474"/>
      </top>
      <bottom style="thin">
        <color rgb="FF747474"/>
      </bottom>
      <diagonal/>
    </border>
    <border>
      <left/>
      <right style="thin">
        <color rgb="FF747474"/>
      </right>
      <top style="thin">
        <color rgb="FF747474"/>
      </top>
      <bottom style="thin">
        <color rgb="FF747474"/>
      </bottom>
      <diagonal/>
    </border>
    <border>
      <left style="thin">
        <color rgb="FF747474"/>
      </left>
      <right style="thin">
        <color rgb="FF747474"/>
      </right>
      <top/>
      <bottom style="thin">
        <color rgb="FF747474"/>
      </bottom>
      <diagonal/>
    </border>
    <border>
      <left/>
      <right style="thin">
        <color rgb="FF74747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7" fillId="0" borderId="0" applyNumberFormat="0" applyFill="0" applyBorder="0" applyAlignment="0" applyProtection="0"/>
  </cellStyleXfs>
  <cellXfs count="140">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10" xfId="0" applyFont="1" applyFill="1" applyBorder="1" applyAlignment="1">
      <alignment horizontal="center" vertical="center"/>
    </xf>
    <xf numFmtId="0" fontId="3" fillId="2" borderId="10" xfId="0" applyFont="1" applyFill="1" applyBorder="1" applyAlignment="1">
      <alignment horizontal="center"/>
    </xf>
    <xf numFmtId="0" fontId="3" fillId="2" borderId="10" xfId="0" applyFont="1" applyFill="1" applyBorder="1"/>
    <xf numFmtId="0" fontId="3" fillId="2" borderId="5" xfId="0" applyFont="1" applyFill="1" applyBorder="1" applyAlignment="1">
      <alignment horizontal="left" vertical="center"/>
    </xf>
    <xf numFmtId="0" fontId="3" fillId="2" borderId="17" xfId="0" applyFont="1" applyFill="1" applyBorder="1"/>
    <xf numFmtId="0" fontId="6" fillId="2" borderId="5" xfId="0" applyFont="1" applyFill="1" applyBorder="1"/>
    <xf numFmtId="10" fontId="3" fillId="2" borderId="10" xfId="0" applyNumberFormat="1" applyFont="1" applyFill="1" applyBorder="1" applyAlignment="1">
      <alignment horizontal="center" vertical="center"/>
    </xf>
    <xf numFmtId="0" fontId="3" fillId="2" borderId="18" xfId="0" applyFont="1" applyFill="1" applyBorder="1"/>
    <xf numFmtId="0" fontId="3" fillId="2" borderId="19" xfId="0" applyFont="1" applyFill="1" applyBorder="1"/>
    <xf numFmtId="0" fontId="3" fillId="2" borderId="20" xfId="0" applyFont="1" applyFill="1" applyBorder="1"/>
    <xf numFmtId="0" fontId="6" fillId="2" borderId="2" xfId="0" applyFont="1" applyFill="1" applyBorder="1"/>
    <xf numFmtId="0" fontId="6" fillId="2" borderId="3" xfId="0" applyFont="1" applyFill="1" applyBorder="1"/>
    <xf numFmtId="0" fontId="6" fillId="0" borderId="0" xfId="0" applyFont="1" applyAlignment="1">
      <alignment horizontal="center" vertical="center"/>
    </xf>
    <xf numFmtId="0" fontId="6" fillId="2" borderId="6" xfId="0" applyFont="1" applyFill="1" applyBorder="1"/>
    <xf numFmtId="0" fontId="9" fillId="2" borderId="5" xfId="0" applyFont="1" applyFill="1" applyBorder="1" applyAlignment="1">
      <alignment horizontal="center" vertical="center"/>
    </xf>
    <xf numFmtId="0" fontId="6" fillId="2" borderId="19" xfId="0" applyFont="1" applyFill="1" applyBorder="1"/>
    <xf numFmtId="0" fontId="6" fillId="2" borderId="20" xfId="0" applyFont="1" applyFill="1" applyBorder="1"/>
    <xf numFmtId="0" fontId="6" fillId="2" borderId="1" xfId="0" applyFont="1" applyFill="1" applyBorder="1"/>
    <xf numFmtId="0" fontId="6" fillId="2" borderId="4" xfId="0" applyFont="1" applyFill="1" applyBorder="1"/>
    <xf numFmtId="0" fontId="6" fillId="2" borderId="18" xfId="0" applyFont="1" applyFill="1" applyBorder="1"/>
    <xf numFmtId="0" fontId="3" fillId="0" borderId="0" xfId="0" applyFont="1"/>
    <xf numFmtId="0" fontId="6" fillId="0" borderId="25" xfId="0" applyFont="1" applyBorder="1"/>
    <xf numFmtId="0" fontId="6" fillId="0" borderId="0" xfId="0" applyFont="1" applyAlignment="1">
      <alignment horizontal="center"/>
    </xf>
    <xf numFmtId="0" fontId="13" fillId="0" borderId="0" xfId="0" applyFont="1" applyAlignment="1">
      <alignment horizontal="center"/>
    </xf>
    <xf numFmtId="0" fontId="15" fillId="0" borderId="0" xfId="0" applyFont="1" applyAlignment="1">
      <alignment horizontal="center" vertical="center"/>
    </xf>
    <xf numFmtId="0" fontId="14" fillId="0" borderId="0" xfId="0" applyFont="1"/>
    <xf numFmtId="0" fontId="13" fillId="0" borderId="0" xfId="0" applyFont="1"/>
    <xf numFmtId="0" fontId="16" fillId="0" borderId="0" xfId="0" applyFont="1" applyAlignment="1">
      <alignment horizontal="center" vertical="center"/>
    </xf>
    <xf numFmtId="0" fontId="18" fillId="4" borderId="5" xfId="0" applyFont="1" applyFill="1" applyBorder="1" applyAlignment="1">
      <alignment horizontal="center" vertical="center"/>
    </xf>
    <xf numFmtId="0" fontId="6" fillId="4" borderId="5" xfId="0" applyFont="1" applyFill="1" applyBorder="1"/>
    <xf numFmtId="0" fontId="17" fillId="3" borderId="34" xfId="0" applyFont="1" applyFill="1" applyBorder="1" applyAlignment="1">
      <alignment horizontal="center" vertical="center"/>
    </xf>
    <xf numFmtId="0" fontId="17" fillId="3" borderId="35" xfId="0" applyFont="1" applyFill="1" applyBorder="1" applyAlignment="1">
      <alignment horizontal="center" vertical="center"/>
    </xf>
    <xf numFmtId="0" fontId="18" fillId="0" borderId="0" xfId="0" applyFont="1" applyAlignment="1">
      <alignment horizontal="center" vertical="center"/>
    </xf>
    <xf numFmtId="0" fontId="19" fillId="4" borderId="5" xfId="0" applyFont="1" applyFill="1" applyBorder="1" applyAlignment="1">
      <alignment horizontal="center" vertical="center"/>
    </xf>
    <xf numFmtId="0" fontId="20" fillId="4" borderId="5" xfId="0" applyFont="1" applyFill="1" applyBorder="1" applyAlignment="1">
      <alignment horizontal="center" vertical="center"/>
    </xf>
    <xf numFmtId="0" fontId="6" fillId="0" borderId="37" xfId="0" applyFont="1" applyBorder="1" applyAlignment="1">
      <alignment vertical="center" wrapText="1"/>
    </xf>
    <xf numFmtId="0" fontId="6" fillId="0" borderId="34" xfId="0" applyFont="1" applyBorder="1" applyAlignment="1">
      <alignment horizontal="center" vertical="center"/>
    </xf>
    <xf numFmtId="0" fontId="6" fillId="0" borderId="0" xfId="0" applyFont="1" applyAlignment="1">
      <alignment horizontal="left" vertical="center"/>
    </xf>
    <xf numFmtId="0" fontId="19" fillId="4" borderId="5" xfId="0" applyFont="1" applyFill="1" applyBorder="1" applyAlignment="1">
      <alignment vertical="center"/>
    </xf>
    <xf numFmtId="0" fontId="6" fillId="0" borderId="0" xfId="0" applyFont="1" applyAlignment="1">
      <alignment vertical="center" wrapText="1"/>
    </xf>
    <xf numFmtId="0" fontId="21" fillId="0" borderId="0" xfId="0" applyFont="1"/>
    <xf numFmtId="0" fontId="6" fillId="0" borderId="32" xfId="0" applyFont="1" applyBorder="1" applyAlignment="1">
      <alignment vertical="center"/>
    </xf>
    <xf numFmtId="0" fontId="22" fillId="0" borderId="0" xfId="0" applyFont="1"/>
    <xf numFmtId="0" fontId="23" fillId="2" borderId="10" xfId="0" applyFont="1" applyFill="1" applyBorder="1" applyAlignment="1">
      <alignment horizontal="center" vertical="center"/>
    </xf>
    <xf numFmtId="0" fontId="6" fillId="0" borderId="34" xfId="0" applyFont="1" applyBorder="1"/>
    <xf numFmtId="0" fontId="6" fillId="0" borderId="32" xfId="0" applyFont="1" applyBorder="1"/>
    <xf numFmtId="0" fontId="24" fillId="0" borderId="0" xfId="0" applyFont="1"/>
    <xf numFmtId="0" fontId="6" fillId="0" borderId="0" xfId="0" applyFont="1" applyAlignment="1">
      <alignment vertical="center"/>
    </xf>
    <xf numFmtId="0" fontId="6" fillId="0" borderId="32" xfId="0" applyFont="1" applyBorder="1" applyAlignment="1">
      <alignment horizontal="center" vertical="center"/>
    </xf>
    <xf numFmtId="0" fontId="25" fillId="2" borderId="10" xfId="0" applyFont="1" applyFill="1" applyBorder="1" applyAlignment="1">
      <alignment horizontal="center" vertical="center"/>
    </xf>
    <xf numFmtId="0" fontId="6" fillId="2" borderId="34" xfId="0" applyFont="1" applyFill="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26" fillId="0" borderId="34" xfId="0" applyFont="1" applyBorder="1" applyAlignment="1">
      <alignment vertical="center"/>
    </xf>
    <xf numFmtId="0" fontId="6" fillId="0" borderId="0" xfId="0" applyFont="1" applyAlignment="1">
      <alignment horizontal="center" vertical="center" wrapText="1"/>
    </xf>
    <xf numFmtId="0" fontId="6" fillId="0" borderId="35" xfId="0" applyFont="1" applyBorder="1" applyAlignment="1">
      <alignment horizontal="center" vertical="center" wrapText="1"/>
    </xf>
    <xf numFmtId="0" fontId="20" fillId="4" borderId="29" xfId="0" applyFont="1" applyFill="1" applyBorder="1" applyAlignment="1">
      <alignment horizontal="center" vertical="center"/>
    </xf>
    <xf numFmtId="0" fontId="6" fillId="0" borderId="29" xfId="0" applyFont="1" applyBorder="1" applyAlignment="1">
      <alignment vertical="center" wrapText="1"/>
    </xf>
    <xf numFmtId="0" fontId="3" fillId="2" borderId="21" xfId="0" applyFont="1" applyFill="1" applyBorder="1" applyAlignment="1">
      <alignment horizontal="center" vertical="center"/>
    </xf>
    <xf numFmtId="0" fontId="6" fillId="2" borderId="21" xfId="0" applyFont="1" applyFill="1" applyBorder="1" applyAlignment="1">
      <alignment horizontal="center" vertical="center"/>
    </xf>
    <xf numFmtId="0" fontId="29" fillId="2" borderId="10" xfId="0" applyFont="1" applyFill="1" applyBorder="1" applyAlignment="1">
      <alignment horizontal="center" vertical="center"/>
    </xf>
    <xf numFmtId="0" fontId="28" fillId="2" borderId="34" xfId="0" applyFont="1" applyFill="1" applyBorder="1" applyAlignment="1">
      <alignment horizontal="center" vertical="center" wrapText="1"/>
    </xf>
    <xf numFmtId="0" fontId="2" fillId="0" borderId="0" xfId="0" applyFont="1"/>
    <xf numFmtId="0" fontId="0" fillId="0" borderId="38" xfId="0" applyBorder="1" applyAlignment="1">
      <alignment horizontal="center" vertical="center"/>
    </xf>
    <xf numFmtId="0" fontId="2" fillId="0" borderId="38" xfId="0" applyFont="1" applyBorder="1" applyAlignment="1">
      <alignment horizontal="center" vertical="center"/>
    </xf>
    <xf numFmtId="0" fontId="18" fillId="4" borderId="5" xfId="0" applyFont="1" applyFill="1" applyBorder="1" applyAlignment="1">
      <alignment horizontal="center" vertical="center" wrapText="1"/>
    </xf>
    <xf numFmtId="0" fontId="6" fillId="0" borderId="0" xfId="0" applyFont="1" applyAlignment="1">
      <alignment horizontal="left" vertical="center" wrapText="1"/>
    </xf>
    <xf numFmtId="0" fontId="0" fillId="0" borderId="0" xfId="0" applyAlignment="1">
      <alignment wrapText="1"/>
    </xf>
    <xf numFmtId="0" fontId="3" fillId="2" borderId="24" xfId="0" applyFont="1" applyFill="1" applyBorder="1"/>
    <xf numFmtId="0" fontId="3" fillId="2" borderId="29" xfId="0" applyFont="1" applyFill="1" applyBorder="1"/>
    <xf numFmtId="0" fontId="3" fillId="2" borderId="25" xfId="0" applyFont="1" applyFill="1" applyBorder="1"/>
    <xf numFmtId="0" fontId="27" fillId="2" borderId="10" xfId="1" applyFill="1" applyBorder="1" applyAlignment="1">
      <alignment horizontal="center" vertical="center"/>
    </xf>
    <xf numFmtId="0" fontId="5" fillId="2" borderId="10" xfId="0" applyFont="1" applyFill="1" applyBorder="1" applyAlignment="1">
      <alignment horizontal="center" vertical="center"/>
    </xf>
    <xf numFmtId="0" fontId="1" fillId="0" borderId="0" xfId="0" applyFont="1"/>
    <xf numFmtId="0" fontId="28" fillId="0" borderId="34" xfId="0" applyFont="1" applyBorder="1" applyAlignment="1">
      <alignment horizontal="center" vertical="center" wrapText="1"/>
    </xf>
    <xf numFmtId="0" fontId="28" fillId="0" borderId="34" xfId="0" applyFont="1" applyBorder="1" applyAlignment="1">
      <alignment horizontal="center" vertical="center"/>
    </xf>
    <xf numFmtId="0" fontId="3" fillId="2" borderId="7" xfId="0" applyFont="1" applyFill="1" applyBorder="1" applyAlignment="1">
      <alignment horizontal="center"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0" fontId="30" fillId="2" borderId="14" xfId="1" applyFont="1" applyFill="1" applyBorder="1" applyAlignment="1">
      <alignment horizontal="center" vertical="center"/>
    </xf>
    <xf numFmtId="0" fontId="30" fillId="0" borderId="15" xfId="1" applyFont="1" applyBorder="1"/>
    <xf numFmtId="0" fontId="30" fillId="0" borderId="16" xfId="1" applyFont="1" applyBorder="1"/>
    <xf numFmtId="0" fontId="3" fillId="2" borderId="14" xfId="0" applyFont="1" applyFill="1" applyBorder="1" applyAlignment="1">
      <alignment horizontal="center" vertical="center"/>
    </xf>
    <xf numFmtId="0" fontId="4" fillId="0" borderId="15" xfId="0" applyFont="1" applyBorder="1"/>
    <xf numFmtId="0" fontId="4" fillId="0" borderId="16" xfId="0" applyFont="1" applyBorder="1"/>
    <xf numFmtId="0" fontId="5" fillId="2" borderId="14" xfId="0" applyFont="1" applyFill="1" applyBorder="1" applyAlignment="1">
      <alignment horizontal="center" vertical="center"/>
    </xf>
    <xf numFmtId="0" fontId="3" fillId="2" borderId="14" xfId="0" applyFont="1" applyFill="1" applyBorder="1" applyAlignment="1">
      <alignment horizontal="center"/>
    </xf>
    <xf numFmtId="0" fontId="7" fillId="2" borderId="5" xfId="0" applyFont="1" applyFill="1" applyBorder="1" applyAlignment="1">
      <alignment horizontal="center"/>
    </xf>
    <xf numFmtId="0" fontId="3" fillId="2" borderId="21" xfId="0" applyFont="1" applyFill="1" applyBorder="1" applyAlignment="1">
      <alignment horizontal="center" vertical="center"/>
    </xf>
    <xf numFmtId="0" fontId="4" fillId="0" borderId="22" xfId="0" applyFont="1" applyBorder="1"/>
    <xf numFmtId="0" fontId="4" fillId="0" borderId="23" xfId="0" applyFont="1" applyBorder="1"/>
    <xf numFmtId="0" fontId="8" fillId="2" borderId="21" xfId="0" applyFont="1" applyFill="1" applyBorder="1" applyAlignment="1">
      <alignment horizontal="left" vertical="center"/>
    </xf>
    <xf numFmtId="0" fontId="10" fillId="2" borderId="7" xfId="0" applyFont="1" applyFill="1" applyBorder="1" applyAlignment="1">
      <alignment horizontal="center" vertical="center" wrapText="1"/>
    </xf>
    <xf numFmtId="0" fontId="4" fillId="0" borderId="24" xfId="0" applyFont="1" applyBorder="1"/>
    <xf numFmtId="0" fontId="0" fillId="0" borderId="0" xfId="0"/>
    <xf numFmtId="0" fontId="4" fillId="0" borderId="25" xfId="0" applyFont="1" applyBorder="1"/>
    <xf numFmtId="0" fontId="3" fillId="2" borderId="21" xfId="0" applyFont="1" applyFill="1" applyBorder="1" applyAlignment="1">
      <alignment horizontal="center"/>
    </xf>
    <xf numFmtId="0" fontId="3" fillId="2" borderId="21" xfId="0" applyFont="1" applyFill="1" applyBorder="1" applyAlignment="1">
      <alignment horizontal="left" vertical="center"/>
    </xf>
    <xf numFmtId="0" fontId="3" fillId="2" borderId="26" xfId="0" applyFont="1" applyFill="1" applyBorder="1" applyAlignment="1">
      <alignment horizontal="center"/>
    </xf>
    <xf numFmtId="0" fontId="4" fillId="0" borderId="27" xfId="0" applyFont="1" applyBorder="1"/>
    <xf numFmtId="0" fontId="4" fillId="0" borderId="28" xfId="0" applyFont="1" applyBorder="1"/>
    <xf numFmtId="0" fontId="12" fillId="2" borderId="21" xfId="0" applyFont="1" applyFill="1" applyBorder="1" applyAlignment="1">
      <alignment horizontal="left" vertical="center"/>
    </xf>
    <xf numFmtId="0" fontId="27" fillId="2" borderId="21" xfId="1" applyFill="1" applyBorder="1" applyAlignment="1">
      <alignment horizontal="left" vertical="center"/>
    </xf>
    <xf numFmtId="0" fontId="27" fillId="0" borderId="22" xfId="1" applyBorder="1"/>
    <xf numFmtId="0" fontId="27" fillId="0" borderId="23" xfId="1" applyBorder="1"/>
    <xf numFmtId="0" fontId="11" fillId="2" borderId="21" xfId="0" applyFont="1" applyFill="1" applyBorder="1" applyAlignment="1">
      <alignment horizontal="left" vertical="center"/>
    </xf>
    <xf numFmtId="0" fontId="6" fillId="2" borderId="21" xfId="0" applyFont="1" applyFill="1" applyBorder="1" applyAlignment="1">
      <alignment horizontal="left" vertical="center"/>
    </xf>
    <xf numFmtId="0" fontId="6" fillId="0" borderId="14" xfId="0" applyFont="1" applyBorder="1" applyAlignment="1">
      <alignment horizontal="center" vertical="center" wrapText="1"/>
    </xf>
    <xf numFmtId="0" fontId="19" fillId="4" borderId="26" xfId="0" applyFont="1" applyFill="1" applyBorder="1" applyAlignment="1">
      <alignment horizontal="center" vertical="center"/>
    </xf>
    <xf numFmtId="0" fontId="6" fillId="0" borderId="14" xfId="0" applyFont="1" applyBorder="1" applyAlignment="1">
      <alignment horizontal="center" vertical="center"/>
    </xf>
    <xf numFmtId="0" fontId="19" fillId="4" borderId="26" xfId="0" applyFont="1" applyFill="1" applyBorder="1" applyAlignment="1">
      <alignment horizontal="left" vertical="center"/>
    </xf>
    <xf numFmtId="0" fontId="4" fillId="0" borderId="15" xfId="0" applyFont="1" applyBorder="1" applyAlignment="1">
      <alignment wrapText="1"/>
    </xf>
    <xf numFmtId="0" fontId="4" fillId="0" borderId="16" xfId="0" applyFont="1" applyBorder="1" applyAlignment="1">
      <alignment wrapText="1"/>
    </xf>
    <xf numFmtId="0" fontId="17" fillId="3" borderId="33" xfId="0" applyFont="1" applyFill="1" applyBorder="1" applyAlignment="1">
      <alignment horizontal="center" vertical="center"/>
    </xf>
    <xf numFmtId="0" fontId="4" fillId="0" borderId="36" xfId="0" applyFont="1" applyBorder="1"/>
    <xf numFmtId="0" fontId="17" fillId="4" borderId="21" xfId="0" applyFont="1" applyFill="1" applyBorder="1" applyAlignment="1">
      <alignment horizontal="center"/>
    </xf>
    <xf numFmtId="0" fontId="14" fillId="0" borderId="0" xfId="0" applyFont="1" applyAlignment="1">
      <alignment horizontal="center"/>
    </xf>
    <xf numFmtId="0" fontId="13" fillId="0" borderId="0" xfId="0" applyFont="1" applyAlignment="1">
      <alignment horizontal="left"/>
    </xf>
    <xf numFmtId="0" fontId="17" fillId="3" borderId="30" xfId="0" applyFont="1" applyFill="1" applyBorder="1" applyAlignment="1">
      <alignment horizontal="center" vertical="center"/>
    </xf>
    <xf numFmtId="0" fontId="4" fillId="0" borderId="31" xfId="0" applyFont="1" applyBorder="1"/>
    <xf numFmtId="0" fontId="4" fillId="0" borderId="32" xfId="0" applyFont="1" applyBorder="1"/>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6" fillId="2" borderId="14" xfId="0" applyFont="1" applyFill="1" applyBorder="1" applyAlignment="1">
      <alignment horizontal="center" vertical="center" wrapText="1"/>
    </xf>
    <xf numFmtId="0" fontId="28" fillId="0" borderId="14" xfId="0" applyFont="1" applyBorder="1" applyAlignment="1">
      <alignment horizontal="center" vertical="center" wrapText="1"/>
    </xf>
    <xf numFmtId="0" fontId="17" fillId="4" borderId="21" xfId="0" applyFont="1" applyFill="1" applyBorder="1" applyAlignment="1">
      <alignment horizontal="center" vertical="center"/>
    </xf>
    <xf numFmtId="0" fontId="17" fillId="0" borderId="14" xfId="0" applyFont="1" applyBorder="1" applyAlignment="1">
      <alignment horizontal="center" vertical="center"/>
    </xf>
    <xf numFmtId="0" fontId="6" fillId="0" borderId="38" xfId="0" applyFont="1" applyBorder="1" applyAlignment="1">
      <alignment horizontal="center" vertical="center" wrapText="1"/>
    </xf>
    <xf numFmtId="0" fontId="0" fillId="0" borderId="38" xfId="0" applyBorder="1" applyAlignment="1">
      <alignment horizontal="center" vertical="center"/>
    </xf>
    <xf numFmtId="0" fontId="21" fillId="0" borderId="38" xfId="0" applyFont="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customschemas.google.com/relationships/workbookmetadata" Target="metadata"/><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000"/>
  <sheetViews>
    <sheetView tabSelected="1" workbookViewId="0">
      <selection activeCell="C9" sqref="C9:E9"/>
    </sheetView>
  </sheetViews>
  <sheetFormatPr baseColWidth="10" defaultColWidth="12.5703125" defaultRowHeight="15" customHeight="1"/>
  <cols>
    <col min="1" max="5" width="10.5703125" customWidth="1"/>
    <col min="6" max="7" width="12.7109375" customWidth="1"/>
    <col min="8" max="8" width="14.7109375" customWidth="1"/>
    <col min="9" max="26" width="10.5703125" customWidth="1"/>
  </cols>
  <sheetData>
    <row r="1" spans="2:22" ht="14.25" customHeight="1"/>
    <row r="2" spans="2:22" ht="14.25" customHeight="1">
      <c r="B2" s="1"/>
      <c r="C2" s="2"/>
      <c r="D2" s="2"/>
      <c r="E2" s="2"/>
      <c r="F2" s="2"/>
      <c r="G2" s="2"/>
      <c r="H2" s="2"/>
      <c r="I2" s="2"/>
      <c r="J2" s="2"/>
      <c r="K2" s="2"/>
      <c r="L2" s="2"/>
      <c r="M2" s="2"/>
      <c r="N2" s="2"/>
      <c r="O2" s="2"/>
      <c r="P2" s="2"/>
      <c r="Q2" s="2"/>
      <c r="R2" s="2"/>
      <c r="S2" s="2"/>
      <c r="T2" s="2"/>
      <c r="U2" s="2"/>
      <c r="V2" s="3"/>
    </row>
    <row r="3" spans="2:22" ht="14.25" customHeight="1">
      <c r="B3" s="4"/>
      <c r="C3" s="5"/>
      <c r="D3" s="5"/>
      <c r="E3" s="5"/>
      <c r="F3" s="5"/>
      <c r="G3" s="5"/>
      <c r="H3" s="5"/>
      <c r="I3" s="5"/>
      <c r="J3" s="5"/>
      <c r="K3" s="5"/>
      <c r="L3" s="5"/>
      <c r="M3" s="5"/>
      <c r="N3" s="5"/>
      <c r="O3" s="5"/>
      <c r="P3" s="5"/>
      <c r="Q3" s="5"/>
      <c r="R3" s="5"/>
      <c r="S3" s="5"/>
      <c r="T3" s="5"/>
      <c r="U3" s="5"/>
      <c r="V3" s="6"/>
    </row>
    <row r="4" spans="2:22" ht="14.25" customHeight="1">
      <c r="B4" s="4"/>
      <c r="C4" s="5"/>
      <c r="D4" s="5"/>
      <c r="E4" s="5"/>
      <c r="F4" s="5"/>
      <c r="G4" s="5"/>
      <c r="H4" s="5"/>
      <c r="I4" s="5"/>
      <c r="J4" s="5"/>
      <c r="K4" s="5"/>
      <c r="L4" s="5"/>
      <c r="M4" s="5"/>
      <c r="N4" s="5"/>
      <c r="O4" s="5"/>
      <c r="P4" s="5"/>
      <c r="Q4" s="5"/>
      <c r="R4" s="5"/>
      <c r="S4" s="5"/>
      <c r="T4" s="5"/>
      <c r="U4" s="5"/>
      <c r="V4" s="6"/>
    </row>
    <row r="5" spans="2:22" ht="14.25" customHeight="1">
      <c r="B5" s="4"/>
      <c r="C5" s="5"/>
      <c r="D5" s="5"/>
      <c r="E5" s="5"/>
      <c r="F5" s="5"/>
      <c r="G5" s="5"/>
      <c r="H5" s="5"/>
      <c r="I5" s="5"/>
      <c r="J5" s="5"/>
      <c r="K5" s="83" t="s">
        <v>0</v>
      </c>
      <c r="L5" s="84"/>
      <c r="M5" s="84"/>
      <c r="N5" s="84"/>
      <c r="O5" s="84"/>
      <c r="P5" s="84"/>
      <c r="Q5" s="84"/>
      <c r="R5" s="84"/>
      <c r="S5" s="84"/>
      <c r="T5" s="84"/>
      <c r="U5" s="85"/>
      <c r="V5" s="6"/>
    </row>
    <row r="6" spans="2:22" ht="14.25" customHeight="1">
      <c r="B6" s="4"/>
      <c r="C6" s="5"/>
      <c r="D6" s="5"/>
      <c r="E6" s="5"/>
      <c r="F6" s="7" t="s">
        <v>1</v>
      </c>
      <c r="G6" s="8" t="s">
        <v>2</v>
      </c>
      <c r="H6" s="7" t="s">
        <v>3</v>
      </c>
      <c r="I6" s="5"/>
      <c r="J6" s="5"/>
      <c r="K6" s="86"/>
      <c r="L6" s="87"/>
      <c r="M6" s="87"/>
      <c r="N6" s="87"/>
      <c r="O6" s="87"/>
      <c r="P6" s="87"/>
      <c r="Q6" s="87"/>
      <c r="R6" s="87"/>
      <c r="S6" s="87"/>
      <c r="T6" s="87"/>
      <c r="U6" s="88"/>
      <c r="V6" s="6"/>
    </row>
    <row r="7" spans="2:22" ht="14.25" customHeight="1">
      <c r="B7" s="4"/>
      <c r="C7" s="89" t="s">
        <v>4</v>
      </c>
      <c r="D7" s="90"/>
      <c r="E7" s="91"/>
      <c r="F7" s="9">
        <f>'REQ. USUARIO'!E19</f>
        <v>52</v>
      </c>
      <c r="G7" s="9">
        <f>'REQ. USUARIO'!C16</f>
        <v>38</v>
      </c>
      <c r="H7" s="9">
        <f>'REQ. USUARIO'!G16</f>
        <v>14</v>
      </c>
      <c r="I7" s="5"/>
      <c r="J7" s="5"/>
      <c r="K7" s="5"/>
      <c r="L7" s="5"/>
      <c r="M7" s="5"/>
      <c r="N7" s="5"/>
      <c r="O7" s="5"/>
      <c r="P7" s="5"/>
      <c r="Q7" s="5"/>
      <c r="R7" s="5"/>
      <c r="S7" s="5"/>
      <c r="T7" s="5"/>
      <c r="U7" s="5"/>
      <c r="V7" s="6"/>
    </row>
    <row r="8" spans="2:22" ht="14.25" customHeight="1">
      <c r="B8" s="4"/>
      <c r="C8" s="10"/>
      <c r="D8" s="10"/>
      <c r="E8" s="10"/>
      <c r="F8" s="11"/>
      <c r="G8" s="12"/>
      <c r="H8" s="5"/>
      <c r="I8" s="5"/>
      <c r="J8" s="5"/>
      <c r="K8" s="92" t="s">
        <v>1</v>
      </c>
      <c r="L8" s="93"/>
      <c r="M8" s="94"/>
      <c r="N8" s="5"/>
      <c r="O8" s="92" t="s">
        <v>5</v>
      </c>
      <c r="P8" s="93"/>
      <c r="Q8" s="94"/>
      <c r="R8" s="5"/>
      <c r="S8" s="92" t="s">
        <v>6</v>
      </c>
      <c r="T8" s="93"/>
      <c r="U8" s="94"/>
      <c r="V8" s="6"/>
    </row>
    <row r="9" spans="2:22" ht="14.25" customHeight="1">
      <c r="B9" s="4"/>
      <c r="C9" s="95" t="s">
        <v>7</v>
      </c>
      <c r="D9" s="93"/>
      <c r="E9" s="94"/>
      <c r="F9" s="9">
        <f>'REQ. FUN. GEN'!N26</f>
        <v>356</v>
      </c>
      <c r="G9" s="9">
        <f>'REQ. FUN. GEN'!L23</f>
        <v>318</v>
      </c>
      <c r="H9" s="9">
        <f>'REQ. FUN. GEN'!P23</f>
        <v>38</v>
      </c>
      <c r="I9" s="5"/>
      <c r="J9" s="5"/>
      <c r="K9" s="96">
        <f>SUM(F7,F9,F11)</f>
        <v>725</v>
      </c>
      <c r="L9" s="93"/>
      <c r="M9" s="94"/>
      <c r="N9" s="5"/>
      <c r="O9" s="96">
        <f>SUM(G7,G9,G11)</f>
        <v>647</v>
      </c>
      <c r="P9" s="93"/>
      <c r="Q9" s="94"/>
      <c r="R9" s="5"/>
      <c r="S9" s="96">
        <f>SUM(H7,H9,H11)</f>
        <v>78</v>
      </c>
      <c r="T9" s="93"/>
      <c r="U9" s="94"/>
      <c r="V9" s="6"/>
    </row>
    <row r="10" spans="2:22" ht="14.25" customHeight="1">
      <c r="B10" s="4"/>
      <c r="C10" s="10"/>
      <c r="D10" s="10"/>
      <c r="E10" s="10"/>
      <c r="F10" s="11"/>
      <c r="G10" s="12"/>
      <c r="H10" s="5"/>
      <c r="I10" s="5"/>
      <c r="J10" s="5"/>
      <c r="K10" s="5"/>
      <c r="L10" s="5"/>
      <c r="M10" s="5"/>
      <c r="N10" s="5"/>
      <c r="O10" s="5"/>
      <c r="P10" s="5"/>
      <c r="Q10" s="5"/>
      <c r="R10" s="5"/>
      <c r="S10" s="5"/>
      <c r="T10" s="5"/>
      <c r="U10" s="5"/>
      <c r="V10" s="6"/>
    </row>
    <row r="11" spans="2:22" ht="14.25" customHeight="1">
      <c r="B11" s="4"/>
      <c r="C11" s="95" t="s">
        <v>8</v>
      </c>
      <c r="D11" s="93"/>
      <c r="E11" s="94"/>
      <c r="F11" s="9">
        <f>'REQ. NO FUN. GEN'!N26</f>
        <v>317</v>
      </c>
      <c r="G11" s="9">
        <f>'REQ. NO FUN. GEN'!L23</f>
        <v>291</v>
      </c>
      <c r="H11" s="9">
        <f>'REQ. NO FUN. GEN'!P23</f>
        <v>26</v>
      </c>
      <c r="I11" s="5"/>
      <c r="J11" s="5"/>
      <c r="K11" s="5"/>
      <c r="L11" s="5"/>
      <c r="M11" s="5"/>
      <c r="N11" s="5"/>
      <c r="O11" s="5"/>
      <c r="P11" s="5"/>
      <c r="Q11" s="5"/>
      <c r="R11" s="5"/>
      <c r="S11" s="5"/>
      <c r="T11" s="5"/>
      <c r="U11" s="5"/>
      <c r="V11" s="6"/>
    </row>
    <row r="12" spans="2:22" ht="14.25" customHeight="1">
      <c r="B12" s="4"/>
      <c r="C12" s="5"/>
      <c r="D12" s="5"/>
      <c r="E12" s="5"/>
      <c r="F12" s="2"/>
      <c r="G12" s="12"/>
      <c r="H12" s="5"/>
      <c r="I12" s="5"/>
      <c r="J12" s="5"/>
      <c r="K12" s="5"/>
      <c r="L12" s="5"/>
      <c r="M12" s="5"/>
      <c r="N12" s="5"/>
      <c r="O12" s="5"/>
      <c r="P12" s="5"/>
      <c r="Q12" s="5"/>
      <c r="R12" s="5"/>
      <c r="S12" s="5"/>
      <c r="T12" s="5"/>
      <c r="U12" s="5"/>
      <c r="V12" s="6"/>
    </row>
    <row r="13" spans="2:22" ht="14.25" customHeight="1">
      <c r="B13" s="4"/>
      <c r="C13" s="5"/>
      <c r="D13" s="5"/>
      <c r="E13" s="5"/>
      <c r="F13" s="5"/>
      <c r="G13" s="5"/>
      <c r="H13" s="5"/>
      <c r="I13" s="5"/>
      <c r="J13" s="5"/>
      <c r="K13" s="5"/>
      <c r="L13" s="5"/>
      <c r="M13" s="5"/>
      <c r="N13" s="5"/>
      <c r="O13" s="5"/>
      <c r="P13" s="5"/>
      <c r="Q13" s="5"/>
      <c r="R13" s="5"/>
      <c r="S13" s="5"/>
      <c r="T13" s="5"/>
      <c r="U13" s="5"/>
      <c r="V13" s="6"/>
    </row>
    <row r="14" spans="2:22" ht="14.25" customHeight="1">
      <c r="B14" s="4"/>
      <c r="C14" s="92" t="s">
        <v>9</v>
      </c>
      <c r="D14" s="94"/>
      <c r="E14" s="13">
        <f>O9/K9</f>
        <v>0.89241379310344826</v>
      </c>
      <c r="F14" s="5"/>
      <c r="G14" s="5"/>
      <c r="H14" s="5"/>
      <c r="I14" s="5"/>
      <c r="J14" s="5"/>
      <c r="K14" s="5"/>
      <c r="L14" s="5"/>
      <c r="M14" s="5"/>
      <c r="N14" s="5"/>
      <c r="O14" s="5"/>
      <c r="P14" s="5"/>
      <c r="Q14" s="5"/>
      <c r="R14" s="5"/>
      <c r="S14" s="5"/>
      <c r="T14" s="5"/>
      <c r="U14" s="5"/>
      <c r="V14" s="6"/>
    </row>
    <row r="15" spans="2:22" ht="14.25" customHeight="1">
      <c r="B15" s="4"/>
      <c r="C15" s="5"/>
      <c r="D15" s="5"/>
      <c r="E15" s="5"/>
      <c r="F15" s="5"/>
      <c r="G15" s="5"/>
      <c r="H15" s="5"/>
      <c r="I15" s="5"/>
      <c r="J15" s="5"/>
      <c r="K15" s="5"/>
      <c r="L15" s="5"/>
      <c r="M15" s="5"/>
      <c r="N15" s="5"/>
      <c r="O15" s="5"/>
      <c r="P15" s="5"/>
      <c r="Q15" s="5"/>
      <c r="R15" s="5"/>
      <c r="S15" s="5"/>
      <c r="T15" s="5"/>
      <c r="U15" s="5"/>
      <c r="V15" s="6"/>
    </row>
    <row r="16" spans="2:22" ht="14.25" customHeight="1">
      <c r="B16" s="4"/>
      <c r="C16" s="97" t="s">
        <v>10</v>
      </c>
      <c r="D16" s="97"/>
      <c r="E16" s="97"/>
      <c r="F16" s="5"/>
      <c r="G16" s="5"/>
      <c r="H16" s="5"/>
      <c r="I16" s="5"/>
      <c r="J16" s="5"/>
      <c r="K16" s="5"/>
      <c r="L16" s="5"/>
      <c r="M16" s="5"/>
      <c r="N16" s="5"/>
      <c r="O16" s="5"/>
      <c r="P16" s="5"/>
      <c r="Q16" s="5"/>
      <c r="R16" s="5"/>
      <c r="S16" s="5"/>
      <c r="T16" s="5"/>
      <c r="U16" s="5"/>
      <c r="V16" s="6"/>
    </row>
    <row r="17" spans="2:22" ht="14.25" customHeight="1">
      <c r="B17" s="4"/>
      <c r="C17" s="5"/>
      <c r="D17" s="5"/>
      <c r="E17" s="5"/>
      <c r="F17" s="5"/>
      <c r="G17" s="5"/>
      <c r="H17" s="5"/>
      <c r="I17" s="5"/>
      <c r="J17" s="5"/>
      <c r="K17" s="5"/>
      <c r="L17" s="5"/>
      <c r="M17" s="5"/>
      <c r="N17" s="5"/>
      <c r="O17" s="5"/>
      <c r="P17" s="5"/>
      <c r="Q17" s="5"/>
      <c r="R17" s="5"/>
      <c r="S17" s="5"/>
      <c r="T17" s="5"/>
      <c r="U17" s="5"/>
      <c r="V17" s="6"/>
    </row>
    <row r="18" spans="2:22" ht="14.25" customHeight="1">
      <c r="B18" s="4"/>
      <c r="C18" s="5"/>
      <c r="D18" s="5"/>
      <c r="E18" s="5"/>
      <c r="F18" s="5"/>
      <c r="G18" s="5"/>
      <c r="H18" s="5"/>
      <c r="I18" s="5"/>
      <c r="J18" s="5"/>
      <c r="K18" s="5"/>
      <c r="L18" s="5"/>
      <c r="M18" s="5"/>
      <c r="N18" s="5"/>
      <c r="O18" s="5"/>
      <c r="P18" s="5"/>
      <c r="Q18" s="5"/>
      <c r="R18" s="5"/>
      <c r="S18" s="5"/>
      <c r="T18" s="5"/>
      <c r="U18" s="5"/>
      <c r="V18" s="6"/>
    </row>
    <row r="19" spans="2:22" ht="14.25" customHeight="1">
      <c r="B19" s="4"/>
      <c r="C19" s="5"/>
      <c r="D19" s="5"/>
      <c r="E19" s="5"/>
      <c r="F19" s="5"/>
      <c r="G19" s="5"/>
      <c r="H19" s="5"/>
      <c r="I19" s="5"/>
      <c r="J19" s="5"/>
      <c r="K19" s="5"/>
      <c r="L19" s="5"/>
      <c r="M19" s="5"/>
      <c r="N19" s="5"/>
      <c r="O19" s="5"/>
      <c r="P19" s="5"/>
      <c r="Q19" s="5"/>
      <c r="R19" s="5"/>
      <c r="S19" s="5"/>
      <c r="T19" s="5"/>
      <c r="U19" s="5"/>
      <c r="V19" s="6"/>
    </row>
    <row r="20" spans="2:22" ht="14.25" customHeight="1">
      <c r="B20" s="4"/>
      <c r="C20" s="5"/>
      <c r="D20" s="5"/>
      <c r="E20" s="5"/>
      <c r="F20" s="5"/>
      <c r="G20" s="5"/>
      <c r="H20" s="5"/>
      <c r="I20" s="5"/>
      <c r="J20" s="5"/>
      <c r="K20" s="5"/>
      <c r="L20" s="5"/>
      <c r="M20" s="5"/>
      <c r="N20" s="5"/>
      <c r="O20" s="5"/>
      <c r="P20" s="5"/>
      <c r="Q20" s="5"/>
      <c r="R20" s="5"/>
      <c r="S20" s="5"/>
      <c r="T20" s="5"/>
      <c r="U20" s="5"/>
      <c r="V20" s="6"/>
    </row>
    <row r="21" spans="2:22" ht="14.25" customHeight="1">
      <c r="B21" s="4"/>
      <c r="C21" s="5"/>
      <c r="D21" s="5"/>
      <c r="E21" s="5"/>
      <c r="F21" s="5"/>
      <c r="G21" s="5"/>
      <c r="H21" s="5"/>
      <c r="I21" s="5"/>
      <c r="J21" s="5"/>
      <c r="K21" s="5"/>
      <c r="L21" s="5"/>
      <c r="M21" s="5"/>
      <c r="N21" s="5"/>
      <c r="O21" s="5"/>
      <c r="P21" s="5"/>
      <c r="Q21" s="5"/>
      <c r="R21" s="5"/>
      <c r="S21" s="5"/>
      <c r="T21" s="5"/>
      <c r="U21" s="5"/>
      <c r="V21" s="6"/>
    </row>
    <row r="22" spans="2:22" ht="14.25" customHeight="1">
      <c r="B22" s="4"/>
      <c r="C22" s="5"/>
      <c r="D22" s="5"/>
      <c r="E22" s="5"/>
      <c r="F22" s="5"/>
      <c r="G22" s="5"/>
      <c r="H22" s="5"/>
      <c r="I22" s="5"/>
      <c r="J22" s="5"/>
      <c r="K22" s="5"/>
      <c r="L22" s="5"/>
      <c r="M22" s="5"/>
      <c r="N22" s="5"/>
      <c r="O22" s="5"/>
      <c r="P22" s="5"/>
      <c r="Q22" s="5"/>
      <c r="R22" s="5"/>
      <c r="S22" s="5"/>
      <c r="T22" s="5"/>
      <c r="U22" s="5"/>
      <c r="V22" s="6"/>
    </row>
    <row r="23" spans="2:22" ht="14.25" customHeight="1">
      <c r="B23" s="4"/>
      <c r="C23" s="5"/>
      <c r="D23" s="5"/>
      <c r="E23" s="5"/>
      <c r="F23" s="5"/>
      <c r="G23" s="5"/>
      <c r="H23" s="5"/>
      <c r="I23" s="5"/>
      <c r="J23" s="5"/>
      <c r="K23" s="5"/>
      <c r="L23" s="5"/>
      <c r="M23" s="5"/>
      <c r="N23" s="5"/>
      <c r="O23" s="5"/>
      <c r="P23" s="5"/>
      <c r="Q23" s="5"/>
      <c r="R23" s="5"/>
      <c r="S23" s="5"/>
      <c r="T23" s="5"/>
      <c r="U23" s="5"/>
      <c r="V23" s="6"/>
    </row>
    <row r="24" spans="2:22" ht="14.25" customHeight="1">
      <c r="B24" s="4"/>
      <c r="C24" s="5"/>
      <c r="D24" s="5"/>
      <c r="E24" s="5"/>
      <c r="F24" s="5"/>
      <c r="G24" s="5"/>
      <c r="H24" s="5"/>
      <c r="I24" s="5"/>
      <c r="J24" s="5"/>
      <c r="K24" s="5"/>
      <c r="L24" s="5"/>
      <c r="M24" s="5"/>
      <c r="N24" s="5"/>
      <c r="O24" s="5"/>
      <c r="P24" s="5"/>
      <c r="Q24" s="5"/>
      <c r="R24" s="5"/>
      <c r="S24" s="5"/>
      <c r="T24" s="5"/>
      <c r="U24" s="5"/>
      <c r="V24" s="6"/>
    </row>
    <row r="25" spans="2:22" ht="14.25" customHeight="1">
      <c r="B25" s="4"/>
      <c r="C25" s="5"/>
      <c r="D25" s="5"/>
      <c r="E25" s="5"/>
      <c r="F25" s="5"/>
      <c r="G25" s="5"/>
      <c r="H25" s="5"/>
      <c r="I25" s="5"/>
      <c r="J25" s="5"/>
      <c r="K25" s="5"/>
      <c r="L25" s="5"/>
      <c r="M25" s="5"/>
      <c r="N25" s="5"/>
      <c r="O25" s="5"/>
      <c r="P25" s="5"/>
      <c r="Q25" s="5"/>
      <c r="R25" s="5"/>
      <c r="S25" s="5"/>
      <c r="T25" s="5"/>
      <c r="U25" s="5"/>
      <c r="V25" s="6"/>
    </row>
    <row r="26" spans="2:22" ht="14.25" customHeight="1">
      <c r="B26" s="4"/>
      <c r="C26" s="5"/>
      <c r="D26" s="5"/>
      <c r="E26" s="5"/>
      <c r="F26" s="5"/>
      <c r="G26" s="5"/>
      <c r="H26" s="5"/>
      <c r="I26" s="5"/>
      <c r="J26" s="5"/>
      <c r="K26" s="5"/>
      <c r="L26" s="5"/>
      <c r="M26" s="5"/>
      <c r="N26" s="5"/>
      <c r="O26" s="5"/>
      <c r="P26" s="5"/>
      <c r="Q26" s="5"/>
      <c r="R26" s="5"/>
      <c r="S26" s="5"/>
      <c r="T26" s="5"/>
      <c r="U26" s="5"/>
      <c r="V26" s="6"/>
    </row>
    <row r="27" spans="2:22" ht="14.25" customHeight="1">
      <c r="B27" s="4"/>
      <c r="C27" s="5"/>
      <c r="D27" s="5"/>
      <c r="E27" s="5"/>
      <c r="F27" s="5"/>
      <c r="G27" s="5"/>
      <c r="H27" s="5"/>
      <c r="I27" s="5"/>
      <c r="J27" s="5"/>
      <c r="K27" s="5"/>
      <c r="L27" s="5"/>
      <c r="M27" s="5"/>
      <c r="N27" s="5"/>
      <c r="O27" s="5"/>
      <c r="P27" s="5"/>
      <c r="Q27" s="5"/>
      <c r="R27" s="5"/>
      <c r="S27" s="5"/>
      <c r="T27" s="5"/>
      <c r="U27" s="5"/>
      <c r="V27" s="6"/>
    </row>
    <row r="28" spans="2:22" ht="14.25" customHeight="1">
      <c r="B28" s="14"/>
      <c r="C28" s="15"/>
      <c r="D28" s="15"/>
      <c r="E28" s="15"/>
      <c r="F28" s="15"/>
      <c r="G28" s="15"/>
      <c r="H28" s="15"/>
      <c r="I28" s="15"/>
      <c r="J28" s="15"/>
      <c r="K28" s="15"/>
      <c r="L28" s="15"/>
      <c r="M28" s="15"/>
      <c r="N28" s="15"/>
      <c r="O28" s="15"/>
      <c r="P28" s="15"/>
      <c r="Q28" s="15"/>
      <c r="R28" s="15"/>
      <c r="S28" s="15"/>
      <c r="T28" s="15"/>
      <c r="U28" s="15"/>
      <c r="V28" s="16"/>
    </row>
    <row r="29" spans="2:22" ht="14.25" customHeight="1"/>
    <row r="30" spans="2:22" ht="14.25" customHeight="1"/>
    <row r="31" spans="2:22" ht="14.25" customHeight="1"/>
    <row r="32" spans="2: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C16:E16"/>
    <mergeCell ref="S8:U8"/>
    <mergeCell ref="S9:U9"/>
    <mergeCell ref="C11:E11"/>
    <mergeCell ref="C14:D14"/>
    <mergeCell ref="K5:U6"/>
    <mergeCell ref="C7:E7"/>
    <mergeCell ref="K8:M8"/>
    <mergeCell ref="O8:Q8"/>
    <mergeCell ref="C9:E9"/>
    <mergeCell ref="K9:M9"/>
    <mergeCell ref="O9:Q9"/>
  </mergeCells>
  <hyperlinks>
    <hyperlink ref="C9" location="'REQ. FUN. GEN'!A1" display="* Requisitos funcionales" xr:uid="{00000000-0004-0000-0000-000000000000}"/>
    <hyperlink ref="C11" location="'REQ. NO FUN. GEN'!A1" display="* Requisitos no funcionales" xr:uid="{00000000-0004-0000-0000-000001000000}"/>
    <hyperlink ref="C16" location="'INVENTARIO TRANSACCIONAL'!A1" display="Inventario Transacciones" xr:uid="{00000000-0004-0000-0000-000002000000}"/>
    <hyperlink ref="C7:E7" location="'REQ. USUARIO'!A1" display="* Requisitos de usuario" xr:uid="{1E6C5218-C04A-46CE-8775-087373B08DD3}"/>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000"/>
  <sheetViews>
    <sheetView workbookViewId="0">
      <selection activeCell="C4" sqref="C4:E4"/>
    </sheetView>
  </sheetViews>
  <sheetFormatPr baseColWidth="10" defaultColWidth="12.5703125" defaultRowHeight="15" customHeight="1"/>
  <cols>
    <col min="1" max="26" width="10.5703125" customWidth="1"/>
  </cols>
  <sheetData>
    <row r="1" spans="2:13" ht="14.25" customHeight="1"/>
    <row r="2" spans="2:13" ht="14.25" customHeight="1">
      <c r="B2" s="1"/>
      <c r="C2" s="2"/>
      <c r="D2" s="2"/>
      <c r="E2" s="2"/>
      <c r="F2" s="2"/>
      <c r="G2" s="2"/>
      <c r="H2" s="2"/>
      <c r="I2" s="17"/>
      <c r="J2" s="18"/>
      <c r="K2" s="19"/>
      <c r="L2" s="19"/>
      <c r="M2" s="19"/>
    </row>
    <row r="3" spans="2:13" ht="14.25" customHeight="1">
      <c r="B3" s="4"/>
      <c r="C3" s="10"/>
      <c r="D3" s="10"/>
      <c r="E3" s="10"/>
      <c r="F3" s="5"/>
      <c r="G3" s="5" t="s">
        <v>11</v>
      </c>
      <c r="H3" s="5" t="s">
        <v>12</v>
      </c>
      <c r="I3" s="12"/>
      <c r="J3" s="20"/>
      <c r="K3" s="19"/>
      <c r="L3" s="19"/>
      <c r="M3" s="19"/>
    </row>
    <row r="4" spans="2:13" ht="14.25" customHeight="1">
      <c r="B4" s="4"/>
      <c r="C4" s="101" t="s">
        <v>7</v>
      </c>
      <c r="D4" s="99"/>
      <c r="E4" s="100"/>
      <c r="F4" s="12"/>
      <c r="G4" s="5">
        <f>COUNTIF('REQ. FUN'!M:M, "x")</f>
        <v>24</v>
      </c>
      <c r="H4" s="5">
        <f>COUNTIF('REQ. FUN'!N:N, "x")</f>
        <v>7</v>
      </c>
      <c r="I4" s="12"/>
      <c r="J4" s="20"/>
      <c r="K4" s="19"/>
      <c r="L4" s="19"/>
      <c r="M4" s="19"/>
    </row>
    <row r="5" spans="2:13" ht="14.25" customHeight="1">
      <c r="B5" s="4"/>
      <c r="C5" s="10"/>
      <c r="D5" s="10"/>
      <c r="E5" s="10"/>
      <c r="F5" s="12"/>
      <c r="G5" s="5"/>
      <c r="H5" s="12"/>
      <c r="I5" s="12"/>
      <c r="J5" s="20"/>
      <c r="K5" s="19"/>
      <c r="L5" s="21" t="s">
        <v>13</v>
      </c>
      <c r="M5" s="19"/>
    </row>
    <row r="6" spans="2:13" ht="14.25" customHeight="1">
      <c r="B6" s="4"/>
      <c r="C6" s="101" t="s">
        <v>8</v>
      </c>
      <c r="D6" s="99"/>
      <c r="E6" s="100"/>
      <c r="F6" s="12"/>
      <c r="G6" s="5">
        <f>COUNTIF('REQ. NO FUN'!M:M, "x")</f>
        <v>14</v>
      </c>
      <c r="H6" s="5">
        <f>COUNTIF('REQ. NO FUN'!N:N, "x")</f>
        <v>7</v>
      </c>
      <c r="I6" s="12"/>
      <c r="J6" s="20"/>
    </row>
    <row r="7" spans="2:13" ht="14.25" customHeight="1">
      <c r="B7" s="4"/>
      <c r="C7" s="10"/>
      <c r="D7" s="10"/>
      <c r="E7" s="10"/>
      <c r="F7" s="5"/>
      <c r="G7" s="5"/>
      <c r="H7" s="5"/>
      <c r="I7" s="12"/>
      <c r="J7" s="20"/>
    </row>
    <row r="8" spans="2:13" ht="14.25" customHeight="1">
      <c r="B8" s="14"/>
      <c r="C8" s="15"/>
      <c r="D8" s="15"/>
      <c r="E8" s="15"/>
      <c r="F8" s="15"/>
      <c r="G8" s="15"/>
      <c r="H8" s="15"/>
      <c r="I8" s="22"/>
      <c r="J8" s="23"/>
    </row>
    <row r="9" spans="2:13" ht="14.25" customHeight="1"/>
    <row r="10" spans="2:13" ht="14.25" customHeight="1">
      <c r="B10" s="24"/>
      <c r="C10" s="17"/>
      <c r="D10" s="17"/>
      <c r="E10" s="17"/>
      <c r="F10" s="17"/>
      <c r="G10" s="17"/>
      <c r="H10" s="17"/>
      <c r="I10" s="17"/>
      <c r="J10" s="18"/>
    </row>
    <row r="11" spans="2:13" ht="14.25" customHeight="1">
      <c r="B11" s="25"/>
      <c r="C11" s="102" t="s">
        <v>14</v>
      </c>
      <c r="D11" s="84"/>
      <c r="E11" s="84"/>
      <c r="F11" s="84"/>
      <c r="G11" s="84"/>
      <c r="H11" s="84"/>
      <c r="I11" s="85"/>
      <c r="J11" s="20"/>
    </row>
    <row r="12" spans="2:13" ht="14.25" customHeight="1">
      <c r="B12" s="25"/>
      <c r="C12" s="103"/>
      <c r="D12" s="104"/>
      <c r="E12" s="104"/>
      <c r="F12" s="104"/>
      <c r="G12" s="104"/>
      <c r="H12" s="104"/>
      <c r="I12" s="105"/>
      <c r="J12" s="20"/>
    </row>
    <row r="13" spans="2:13" ht="14.25" customHeight="1">
      <c r="B13" s="25"/>
      <c r="C13" s="86"/>
      <c r="D13" s="87"/>
      <c r="E13" s="87"/>
      <c r="F13" s="87"/>
      <c r="G13" s="87"/>
      <c r="H13" s="87"/>
      <c r="I13" s="88"/>
      <c r="J13" s="20"/>
    </row>
    <row r="14" spans="2:13" ht="14.25" customHeight="1">
      <c r="B14" s="25"/>
      <c r="C14" s="12"/>
      <c r="D14" s="12"/>
      <c r="E14" s="12"/>
      <c r="F14" s="12"/>
      <c r="G14" s="12"/>
      <c r="H14" s="12"/>
      <c r="I14" s="12"/>
      <c r="J14" s="20"/>
    </row>
    <row r="15" spans="2:13" ht="14.25" customHeight="1">
      <c r="B15" s="25"/>
      <c r="C15" s="96" t="s">
        <v>15</v>
      </c>
      <c r="D15" s="93"/>
      <c r="E15" s="94"/>
      <c r="F15" s="5"/>
      <c r="G15" s="96" t="s">
        <v>16</v>
      </c>
      <c r="H15" s="93"/>
      <c r="I15" s="94"/>
      <c r="J15" s="20"/>
    </row>
    <row r="16" spans="2:13" ht="14.25" customHeight="1">
      <c r="B16" s="25"/>
      <c r="C16" s="106">
        <f>SUM(G4:G6)</f>
        <v>38</v>
      </c>
      <c r="D16" s="99"/>
      <c r="E16" s="100"/>
      <c r="F16" s="5"/>
      <c r="G16" s="106">
        <f>SUM(H4:H6)</f>
        <v>14</v>
      </c>
      <c r="H16" s="99"/>
      <c r="I16" s="100"/>
      <c r="J16" s="20"/>
    </row>
    <row r="17" spans="2:10" ht="14.25" customHeight="1">
      <c r="B17" s="25"/>
      <c r="C17" s="12"/>
      <c r="D17" s="12"/>
      <c r="E17" s="12"/>
      <c r="F17" s="12"/>
      <c r="G17" s="12"/>
      <c r="H17" s="12"/>
      <c r="I17" s="12"/>
      <c r="J17" s="20"/>
    </row>
    <row r="18" spans="2:10" ht="14.25" customHeight="1">
      <c r="B18" s="25"/>
      <c r="C18" s="12"/>
      <c r="D18" s="12"/>
      <c r="E18" s="92" t="s">
        <v>17</v>
      </c>
      <c r="F18" s="93"/>
      <c r="G18" s="94"/>
      <c r="H18" s="12"/>
      <c r="I18" s="12"/>
      <c r="J18" s="20"/>
    </row>
    <row r="19" spans="2:10" ht="14.25" customHeight="1">
      <c r="B19" s="25"/>
      <c r="C19" s="12"/>
      <c r="D19" s="12"/>
      <c r="E19" s="98">
        <f>SUM(C16,G16)</f>
        <v>52</v>
      </c>
      <c r="F19" s="99"/>
      <c r="G19" s="100"/>
      <c r="H19" s="12"/>
      <c r="I19" s="12"/>
      <c r="J19" s="20"/>
    </row>
    <row r="20" spans="2:10" ht="14.25" customHeight="1">
      <c r="B20" s="26"/>
      <c r="C20" s="22"/>
      <c r="D20" s="22"/>
      <c r="E20" s="22"/>
      <c r="F20" s="22"/>
      <c r="G20" s="22"/>
      <c r="H20" s="22"/>
      <c r="I20" s="22"/>
      <c r="J20" s="23"/>
    </row>
    <row r="21" spans="2:10" ht="14.25" customHeight="1"/>
    <row r="22" spans="2:10" ht="14.25" customHeight="1"/>
    <row r="23" spans="2:10" ht="14.25" customHeight="1"/>
    <row r="24" spans="2:10" ht="14.25" customHeight="1"/>
    <row r="25" spans="2:10" ht="14.25" customHeight="1"/>
    <row r="26" spans="2:10" ht="14.25" customHeight="1"/>
    <row r="27" spans="2:10" ht="14.25" customHeight="1"/>
    <row r="28" spans="2:10" ht="14.25" customHeight="1"/>
    <row r="29" spans="2:10" ht="14.25" customHeight="1"/>
    <row r="30" spans="2:10" ht="14.25" customHeight="1"/>
    <row r="31" spans="2:10" ht="14.25" customHeight="1"/>
    <row r="32" spans="2: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E18:G18"/>
    <mergeCell ref="E19:G19"/>
    <mergeCell ref="C4:E4"/>
    <mergeCell ref="C6:E6"/>
    <mergeCell ref="C11:I13"/>
    <mergeCell ref="C15:E15"/>
    <mergeCell ref="G15:I15"/>
    <mergeCell ref="C16:E16"/>
    <mergeCell ref="G16:I16"/>
  </mergeCells>
  <hyperlinks>
    <hyperlink ref="C4" location="'REQ. FUN'!A1" display="* Requisitos funcionales" xr:uid="{00000000-0004-0000-0100-000000000000}"/>
    <hyperlink ref="L5" location="GENERAL!A1" display="Volver" xr:uid="{00000000-0004-0000-0100-000001000000}"/>
    <hyperlink ref="C6" location="'REQ. NO FUN'!A1" display="* Requisitos no funcionales" xr:uid="{00000000-0004-0000-01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1001"/>
  <sheetViews>
    <sheetView workbookViewId="0"/>
  </sheetViews>
  <sheetFormatPr baseColWidth="10" defaultColWidth="12.5703125" defaultRowHeight="15" customHeight="1"/>
  <cols>
    <col min="1" max="2" width="10.5703125" customWidth="1"/>
    <col min="3" max="5" width="14.7109375" customWidth="1"/>
    <col min="6" max="8" width="10.5703125" customWidth="1"/>
    <col min="9" max="9" width="10.42578125" customWidth="1"/>
    <col min="10" max="10" width="10.5703125" hidden="1" customWidth="1"/>
    <col min="11" max="12" width="10.5703125" customWidth="1"/>
    <col min="13" max="18" width="14.7109375" customWidth="1"/>
    <col min="19" max="26" width="10.5703125" customWidth="1"/>
  </cols>
  <sheetData>
    <row r="1" spans="2:8" ht="14.25" customHeight="1"/>
    <row r="2" spans="2:8" ht="14.25" customHeight="1">
      <c r="B2" s="1"/>
      <c r="C2" s="2"/>
      <c r="D2" s="2"/>
      <c r="E2" s="2"/>
      <c r="F2" s="2" t="s">
        <v>11</v>
      </c>
      <c r="G2" s="2" t="s">
        <v>12</v>
      </c>
      <c r="H2" s="3"/>
    </row>
    <row r="3" spans="2:8" ht="14.25" customHeight="1">
      <c r="B3" s="4"/>
      <c r="C3" s="115" t="s">
        <v>18</v>
      </c>
      <c r="D3" s="99"/>
      <c r="E3" s="100"/>
      <c r="F3" s="5">
        <f>COUNTIF('PAG. WEB - Landing FUN.'!M:M, "x")</f>
        <v>21</v>
      </c>
      <c r="G3" s="5">
        <f>COUNTIF('PAG. WEB - Landing FUN.'!N:N, "x")</f>
        <v>7</v>
      </c>
      <c r="H3" s="6"/>
    </row>
    <row r="4" spans="2:8" ht="14.25" customHeight="1">
      <c r="B4" s="4"/>
      <c r="C4" s="101" t="s">
        <v>19</v>
      </c>
      <c r="D4" s="99"/>
      <c r="E4" s="100"/>
      <c r="F4" s="27">
        <f>COUNTIF('Inicio de sesión FUN.'!M:M, "x")</f>
        <v>35</v>
      </c>
      <c r="G4" s="5">
        <f>COUNTIF('Inicio de sesión FUN.'!N:N, "x")</f>
        <v>2</v>
      </c>
      <c r="H4" s="6"/>
    </row>
    <row r="5" spans="2:8" ht="14.25" customHeight="1">
      <c r="B5" s="4"/>
      <c r="C5" s="101" t="s">
        <v>20</v>
      </c>
      <c r="D5" s="99"/>
      <c r="E5" s="100"/>
      <c r="F5" s="5">
        <f>COUNTIF('Registro FUN.'!M:M, "x")</f>
        <v>28</v>
      </c>
      <c r="G5" s="5">
        <f>COUNTIF('Registro FUN.'!N:N, "x")</f>
        <v>2</v>
      </c>
      <c r="H5" s="6"/>
    </row>
    <row r="6" spans="2:8" ht="14.25" customHeight="1">
      <c r="B6" s="4"/>
      <c r="C6" s="111" t="s">
        <v>21</v>
      </c>
      <c r="D6" s="99"/>
      <c r="E6" s="100"/>
      <c r="F6" s="5">
        <f>COUNTIF('Panel Admin FUN.'!M:M, "x")</f>
        <v>42</v>
      </c>
      <c r="G6" s="5">
        <f>COUNTIF('Panel Admin FUN.'!N:N, "x")</f>
        <v>4</v>
      </c>
      <c r="H6" s="6"/>
    </row>
    <row r="7" spans="2:8" ht="14.25" customHeight="1">
      <c r="B7" s="4"/>
      <c r="C7" s="112" t="s">
        <v>22</v>
      </c>
      <c r="D7" s="113"/>
      <c r="E7" s="114"/>
      <c r="F7" s="5">
        <f>COUNTIF('Inf. Personal FUN.'!M:M, "x")</f>
        <v>31</v>
      </c>
      <c r="G7" s="5">
        <f>COUNTIF('Inf. Personal FUN.'!N:N, "x")</f>
        <v>1</v>
      </c>
      <c r="H7" s="6"/>
    </row>
    <row r="8" spans="2:8" ht="14.25" customHeight="1">
      <c r="B8" s="4"/>
      <c r="C8" s="112" t="s">
        <v>23</v>
      </c>
      <c r="D8" s="113"/>
      <c r="E8" s="114"/>
      <c r="F8" s="5">
        <f>COUNTIF('Instrumental FUN.'!M:M, "x")</f>
        <v>53</v>
      </c>
      <c r="G8" s="5">
        <f>COUNTIF('Instrumental FUN.'!N:N, "x")</f>
        <v>2</v>
      </c>
      <c r="H8" s="28"/>
    </row>
    <row r="9" spans="2:8" ht="14.25" customHeight="1">
      <c r="B9" s="4"/>
      <c r="C9" s="112" t="s">
        <v>24</v>
      </c>
      <c r="D9" s="113"/>
      <c r="E9" s="114"/>
      <c r="F9" s="5">
        <f>COUNTIF('Materia prima FUN.'!M:M, "x")</f>
        <v>41</v>
      </c>
      <c r="G9" s="5">
        <f>COUNTIF('Materia prima FUN.'!N:N, "x")</f>
        <v>1</v>
      </c>
      <c r="H9" s="6"/>
    </row>
    <row r="10" spans="2:8" ht="14.25" customHeight="1">
      <c r="B10" s="75"/>
      <c r="C10" s="112" t="s">
        <v>803</v>
      </c>
      <c r="D10" s="113"/>
      <c r="E10" s="114"/>
      <c r="F10" s="5">
        <f>COUNTIF('Productos FUN'!M:M, "x")</f>
        <v>13</v>
      </c>
      <c r="G10" s="76">
        <f>COUNTIF('Productos FUN'!N:N, "x")</f>
        <v>0</v>
      </c>
      <c r="H10" s="77"/>
    </row>
    <row r="11" spans="2:8" ht="14.25" customHeight="1">
      <c r="B11" s="75"/>
      <c r="C11" s="112" t="s">
        <v>804</v>
      </c>
      <c r="D11" s="113"/>
      <c r="E11" s="114"/>
      <c r="F11" s="76">
        <f>COUNTIF('Finanzas FUN'!M:M, "x")</f>
        <v>9</v>
      </c>
      <c r="G11" s="76">
        <f>COUNTIF('Productos FUN'!N:N, "x")</f>
        <v>0</v>
      </c>
      <c r="H11" s="77"/>
    </row>
    <row r="12" spans="2:8" ht="14.25" customHeight="1">
      <c r="B12" s="4"/>
      <c r="C12" s="112" t="s">
        <v>25</v>
      </c>
      <c r="D12" s="113"/>
      <c r="E12" s="114"/>
      <c r="F12" s="5">
        <f>COUNTIF('Historial FUN'!M:M, "x")</f>
        <v>21</v>
      </c>
      <c r="G12" s="5">
        <f>COUNTIF('Historial FUN'!N:N, "x")</f>
        <v>3</v>
      </c>
      <c r="H12" s="6"/>
    </row>
    <row r="13" spans="2:8" ht="14.25" customHeight="1">
      <c r="B13" s="4"/>
      <c r="C13" s="101" t="s">
        <v>26</v>
      </c>
      <c r="D13" s="99"/>
      <c r="E13" s="100"/>
      <c r="F13" s="5">
        <f>COUNTIF('Clientes FUN'!M:M, "x")</f>
        <v>7</v>
      </c>
      <c r="G13" s="5">
        <f>COUNTIF('Clientes FUN'!N:N, "x")</f>
        <v>3</v>
      </c>
      <c r="H13" s="6"/>
    </row>
    <row r="14" spans="2:8" ht="14.25" customHeight="1">
      <c r="B14" s="4"/>
      <c r="C14" s="111" t="s">
        <v>27</v>
      </c>
      <c r="D14" s="99"/>
      <c r="E14" s="100"/>
      <c r="F14" s="5">
        <f>COUNTIF('Facturación FUN.'!M:M, "x")</f>
        <v>9</v>
      </c>
      <c r="G14" s="5">
        <f>COUNTIF('Facturación FUN.'!N:N, "x")</f>
        <v>1</v>
      </c>
      <c r="H14" s="6"/>
    </row>
    <row r="15" spans="2:8" ht="14.25" customHeight="1">
      <c r="B15" s="14"/>
      <c r="C15" s="15"/>
      <c r="D15" s="15"/>
      <c r="E15" s="15"/>
      <c r="F15" s="15"/>
      <c r="G15" s="15"/>
      <c r="H15" s="16"/>
    </row>
    <row r="16" spans="2:8" ht="14.25" customHeight="1">
      <c r="B16" s="24"/>
      <c r="C16" s="17"/>
      <c r="D16" s="17"/>
      <c r="E16" s="17"/>
      <c r="F16" s="17"/>
      <c r="G16" s="17"/>
      <c r="H16" s="18"/>
    </row>
    <row r="17" spans="2:19" ht="14.25" customHeight="1">
      <c r="B17" s="25"/>
      <c r="C17" s="101" t="s">
        <v>28</v>
      </c>
      <c r="D17" s="99"/>
      <c r="E17" s="100"/>
      <c r="F17" s="5">
        <f>COUNTIF('Gestión Usuarios FUN.'!M:M, "x")</f>
        <v>6</v>
      </c>
      <c r="G17" s="27">
        <f>COUNTIF('Gestión Usuarios FUN.'!N:N, "x")</f>
        <v>4</v>
      </c>
      <c r="H17" s="20"/>
      <c r="K17" s="24"/>
      <c r="L17" s="17"/>
      <c r="M17" s="17"/>
      <c r="N17" s="17"/>
      <c r="O17" s="17"/>
      <c r="P17" s="17"/>
      <c r="Q17" s="17"/>
      <c r="R17" s="17"/>
      <c r="S17" s="18"/>
    </row>
    <row r="18" spans="2:19" ht="14.25" customHeight="1">
      <c r="B18" s="25"/>
      <c r="C18" s="101" t="s">
        <v>29</v>
      </c>
      <c r="D18" s="99"/>
      <c r="E18" s="100"/>
      <c r="F18" s="5">
        <f>COUNTIF('Permisos y Menús FUN.'!M:M, "x")</f>
        <v>2</v>
      </c>
      <c r="G18" s="5">
        <f>COUNTIF('Permisos y Menús FUN.'!N:N, "x")</f>
        <v>8</v>
      </c>
      <c r="H18" s="20"/>
      <c r="K18" s="25"/>
      <c r="L18" s="102" t="s">
        <v>30</v>
      </c>
      <c r="M18" s="84"/>
      <c r="N18" s="84"/>
      <c r="O18" s="84"/>
      <c r="P18" s="84"/>
      <c r="Q18" s="84"/>
      <c r="R18" s="85"/>
      <c r="S18" s="20"/>
    </row>
    <row r="19" spans="2:19" ht="14.25" customHeight="1">
      <c r="B19" s="25"/>
      <c r="C19" s="107"/>
      <c r="D19" s="99"/>
      <c r="E19" s="100"/>
      <c r="F19" s="5"/>
      <c r="G19" s="5"/>
      <c r="H19" s="20"/>
      <c r="K19" s="25"/>
      <c r="L19" s="103"/>
      <c r="M19" s="104"/>
      <c r="N19" s="104"/>
      <c r="O19" s="104"/>
      <c r="P19" s="104"/>
      <c r="Q19" s="104"/>
      <c r="R19" s="105"/>
      <c r="S19" s="20"/>
    </row>
    <row r="20" spans="2:19" ht="14.25" customHeight="1">
      <c r="B20" s="25"/>
      <c r="C20" s="107"/>
      <c r="D20" s="99"/>
      <c r="E20" s="100"/>
      <c r="F20" s="5"/>
      <c r="G20" s="5"/>
      <c r="H20" s="20"/>
      <c r="K20" s="25"/>
      <c r="L20" s="86"/>
      <c r="M20" s="87"/>
      <c r="N20" s="87"/>
      <c r="O20" s="87"/>
      <c r="P20" s="87"/>
      <c r="Q20" s="87"/>
      <c r="R20" s="88"/>
      <c r="S20" s="20"/>
    </row>
    <row r="21" spans="2:19" ht="14.25" customHeight="1">
      <c r="B21" s="25"/>
      <c r="C21" s="107"/>
      <c r="D21" s="99"/>
      <c r="E21" s="100"/>
      <c r="F21" s="5"/>
      <c r="G21" s="5"/>
      <c r="H21" s="20"/>
      <c r="K21" s="25"/>
      <c r="L21" s="12"/>
      <c r="M21" s="12"/>
      <c r="N21" s="12"/>
      <c r="O21" s="12"/>
      <c r="P21" s="12"/>
      <c r="Q21" s="12"/>
      <c r="R21" s="12"/>
      <c r="S21" s="20"/>
    </row>
    <row r="22" spans="2:19" ht="14.25" customHeight="1">
      <c r="B22" s="25"/>
      <c r="C22" s="107"/>
      <c r="D22" s="99"/>
      <c r="E22" s="100"/>
      <c r="F22" s="5"/>
      <c r="G22" s="5"/>
      <c r="H22" s="20"/>
      <c r="K22" s="25"/>
      <c r="L22" s="96" t="s">
        <v>15</v>
      </c>
      <c r="M22" s="93"/>
      <c r="N22" s="94"/>
      <c r="O22" s="5"/>
      <c r="P22" s="96" t="s">
        <v>16</v>
      </c>
      <c r="Q22" s="93"/>
      <c r="R22" s="94"/>
      <c r="S22" s="20"/>
    </row>
    <row r="23" spans="2:19" ht="14.25" customHeight="1">
      <c r="B23" s="25"/>
      <c r="C23" s="107"/>
      <c r="D23" s="99"/>
      <c r="E23" s="100"/>
      <c r="F23" s="5"/>
      <c r="G23" s="5"/>
      <c r="H23" s="20"/>
      <c r="K23" s="25"/>
      <c r="L23" s="106">
        <f>SUM(F3:F14,F17:F18,P3:P7)</f>
        <v>318</v>
      </c>
      <c r="M23" s="99"/>
      <c r="N23" s="100"/>
      <c r="O23" s="5"/>
      <c r="P23" s="106">
        <f>SUM(G3:G14,G17:G18,Q3:Q7)</f>
        <v>38</v>
      </c>
      <c r="Q23" s="99"/>
      <c r="R23" s="100"/>
      <c r="S23" s="20"/>
    </row>
    <row r="24" spans="2:19" ht="14.25" customHeight="1">
      <c r="B24" s="25"/>
      <c r="C24" s="21" t="s">
        <v>13</v>
      </c>
      <c r="D24" s="65"/>
      <c r="E24" s="65"/>
      <c r="F24" s="65"/>
      <c r="G24" s="65"/>
      <c r="H24" s="20"/>
      <c r="K24" s="25"/>
      <c r="L24" s="12"/>
      <c r="M24" s="12"/>
      <c r="N24" s="12"/>
      <c r="O24" s="12"/>
      <c r="P24" s="12"/>
      <c r="Q24" s="12"/>
      <c r="R24" s="12"/>
      <c r="S24" s="20"/>
    </row>
    <row r="25" spans="2:19" ht="14.25" customHeight="1">
      <c r="B25" s="25"/>
      <c r="C25" s="107"/>
      <c r="D25" s="99"/>
      <c r="E25" s="100"/>
      <c r="F25" s="5"/>
      <c r="G25" s="5"/>
      <c r="H25" s="20"/>
      <c r="K25" s="25"/>
      <c r="L25" s="12"/>
      <c r="M25" s="12"/>
      <c r="N25" s="92" t="s">
        <v>17</v>
      </c>
      <c r="O25" s="93"/>
      <c r="P25" s="94"/>
      <c r="Q25" s="12"/>
      <c r="R25" s="12"/>
      <c r="S25" s="20"/>
    </row>
    <row r="26" spans="2:19" ht="14.25" customHeight="1">
      <c r="B26" s="25"/>
      <c r="C26" s="107"/>
      <c r="D26" s="99"/>
      <c r="E26" s="100"/>
      <c r="F26" s="5"/>
      <c r="G26" s="5"/>
      <c r="H26" s="20"/>
      <c r="K26" s="25"/>
      <c r="L26" s="12"/>
      <c r="M26" s="12"/>
      <c r="N26" s="98">
        <f>SUM(L23,P23)</f>
        <v>356</v>
      </c>
      <c r="O26" s="99"/>
      <c r="P26" s="100"/>
      <c r="Q26" s="12"/>
      <c r="R26" s="12"/>
      <c r="S26" s="20"/>
    </row>
    <row r="27" spans="2:19" ht="14.25" customHeight="1">
      <c r="B27" s="25"/>
      <c r="C27" s="107"/>
      <c r="D27" s="99"/>
      <c r="E27" s="100"/>
      <c r="F27" s="5"/>
      <c r="G27" s="5"/>
      <c r="H27" s="20"/>
      <c r="K27" s="26"/>
      <c r="L27" s="22"/>
      <c r="M27" s="22"/>
      <c r="N27" s="22"/>
      <c r="O27" s="22"/>
      <c r="P27" s="22"/>
      <c r="Q27" s="22"/>
      <c r="R27" s="22"/>
      <c r="S27" s="23"/>
    </row>
    <row r="28" spans="2:19" ht="14.25" customHeight="1">
      <c r="B28" s="25"/>
      <c r="C28" s="107"/>
      <c r="D28" s="99"/>
      <c r="E28" s="100"/>
      <c r="F28" s="5"/>
      <c r="G28" s="5"/>
      <c r="H28" s="20"/>
    </row>
    <row r="29" spans="2:19" ht="14.25" customHeight="1">
      <c r="B29" s="26"/>
      <c r="C29" s="108"/>
      <c r="D29" s="109"/>
      <c r="E29" s="110"/>
      <c r="F29" s="22"/>
      <c r="G29" s="22"/>
      <c r="H29" s="23"/>
    </row>
    <row r="30" spans="2:19" ht="14.25" customHeight="1"/>
    <row r="31" spans="2:19" ht="14.25" customHeight="1"/>
    <row r="32" spans="2: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31">
    <mergeCell ref="C8:E8"/>
    <mergeCell ref="C9:E9"/>
    <mergeCell ref="C12:E12"/>
    <mergeCell ref="C3:E3"/>
    <mergeCell ref="C4:E4"/>
    <mergeCell ref="C5:E5"/>
    <mergeCell ref="C6:E6"/>
    <mergeCell ref="C7:E7"/>
    <mergeCell ref="C10:E10"/>
    <mergeCell ref="C11:E11"/>
    <mergeCell ref="L22:N22"/>
    <mergeCell ref="P22:R22"/>
    <mergeCell ref="C17:E17"/>
    <mergeCell ref="C18:E18"/>
    <mergeCell ref="L18:R20"/>
    <mergeCell ref="C19:E19"/>
    <mergeCell ref="C20:E20"/>
    <mergeCell ref="C21:E21"/>
    <mergeCell ref="C22:E22"/>
    <mergeCell ref="C27:E27"/>
    <mergeCell ref="C28:E28"/>
    <mergeCell ref="C29:E29"/>
    <mergeCell ref="C23:E23"/>
    <mergeCell ref="C13:E13"/>
    <mergeCell ref="C14:E14"/>
    <mergeCell ref="N26:P26"/>
    <mergeCell ref="L23:N23"/>
    <mergeCell ref="P23:R23"/>
    <mergeCell ref="C25:E25"/>
    <mergeCell ref="N25:P25"/>
    <mergeCell ref="C26:E26"/>
  </mergeCells>
  <hyperlinks>
    <hyperlink ref="C24" location="GENERAL!A1" display="Volver" xr:uid="{00000000-0004-0000-0200-000001000000}"/>
    <hyperlink ref="C7:E7" location="'Inf. Personal FUN.'!A1" display="* Requerimientos Información Personal" xr:uid="{ACE355FC-079C-4826-A874-8680B6F7B692}"/>
    <hyperlink ref="C8:E8" location="'Instrumental FUN.'!A1" display="* Requerimientos Instrumental" xr:uid="{E2B0C1E9-248A-4B4A-9BCF-B6D2BE0AE700}"/>
    <hyperlink ref="C9:E9" location="'Materia prima FUN.'!A1" display="* Requerimientos Materia Prima" xr:uid="{2473FA2C-18CB-4703-8A49-31B69819EF2C}"/>
    <hyperlink ref="C10:E10" location="'Productos FUN'!A1" display="* Requerimientos Productos" xr:uid="{DAE483A5-BB7F-4DBB-965B-AE6079924FC9}"/>
    <hyperlink ref="C11:E11" location="'Finanzas FUN'!A1" display="* Requerimientos Finanzas" xr:uid="{E9B89199-85D2-4B87-ACCD-09A151318A75}"/>
    <hyperlink ref="C12:E12" location="'Historial FUN'!A1" display="* Requerimientos Historial" xr:uid="{E068E578-1D5C-4080-AEB9-ECA1C074B28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S1001"/>
  <sheetViews>
    <sheetView workbookViewId="0">
      <selection activeCell="C29" sqref="C29"/>
    </sheetView>
  </sheetViews>
  <sheetFormatPr baseColWidth="10" defaultColWidth="12.5703125" defaultRowHeight="15" customHeight="1"/>
  <cols>
    <col min="1" max="2" width="10.5703125" customWidth="1"/>
    <col min="3" max="5" width="14.7109375" customWidth="1"/>
    <col min="6" max="8" width="10.5703125" customWidth="1"/>
    <col min="9" max="9" width="10.42578125" customWidth="1"/>
    <col min="10" max="10" width="10.5703125" hidden="1" customWidth="1"/>
    <col min="11" max="11" width="10.5703125" customWidth="1"/>
    <col min="12" max="18" width="14.7109375" customWidth="1"/>
    <col min="19" max="26" width="10.5703125" customWidth="1"/>
  </cols>
  <sheetData>
    <row r="1" spans="2:8" ht="14.25" customHeight="1"/>
    <row r="2" spans="2:8" ht="14.25" customHeight="1">
      <c r="B2" s="1"/>
      <c r="C2" s="2"/>
      <c r="D2" s="2"/>
      <c r="E2" s="2"/>
      <c r="F2" s="2" t="s">
        <v>11</v>
      </c>
      <c r="G2" s="2" t="s">
        <v>12</v>
      </c>
      <c r="H2" s="3"/>
    </row>
    <row r="3" spans="2:8" ht="14.25" customHeight="1">
      <c r="B3" s="4"/>
      <c r="C3" s="111" t="s">
        <v>18</v>
      </c>
      <c r="D3" s="99"/>
      <c r="E3" s="100"/>
      <c r="F3" s="5">
        <f>COUNTIF('PAG. WEB - Landing NO FUN.'!M:M, "x")</f>
        <v>28</v>
      </c>
      <c r="G3" s="5">
        <f>COUNTIF('PAG. WEB - Landing NO FUN.'!N:N, "x")</f>
        <v>3</v>
      </c>
      <c r="H3" s="6"/>
    </row>
    <row r="4" spans="2:8" ht="14.25" customHeight="1">
      <c r="B4" s="4"/>
      <c r="C4" s="111" t="s">
        <v>19</v>
      </c>
      <c r="D4" s="99"/>
      <c r="E4" s="100"/>
      <c r="F4" s="5">
        <f>COUNTIF('Inicio de sesión NO FUN.'!M:M, "x")</f>
        <v>16</v>
      </c>
      <c r="G4" s="5">
        <f>COUNTIF('Inicio de sesión NO FUN.'!N:N, "x")</f>
        <v>4</v>
      </c>
      <c r="H4" s="6"/>
    </row>
    <row r="5" spans="2:8" ht="14.25" customHeight="1">
      <c r="B5" s="4"/>
      <c r="C5" s="111" t="s">
        <v>20</v>
      </c>
      <c r="D5" s="99"/>
      <c r="E5" s="100"/>
      <c r="F5" s="5">
        <f>COUNTIF('Registro NO FUN.'!M:M, "x")</f>
        <v>21</v>
      </c>
      <c r="G5" s="5">
        <f>COUNTIF('Registro NO FUN.'!N:N, "x")</f>
        <v>2</v>
      </c>
      <c r="H5" s="6"/>
    </row>
    <row r="6" spans="2:8" ht="14.25" customHeight="1">
      <c r="B6" s="4"/>
      <c r="C6" s="111" t="s">
        <v>21</v>
      </c>
      <c r="D6" s="99"/>
      <c r="E6" s="100"/>
      <c r="F6" s="5">
        <f>COUNTIF('Panel Admin NO FUN.'!M:M, "x")</f>
        <v>33</v>
      </c>
      <c r="G6" s="5">
        <f>COUNTIF('Panel Admin NO FUN.'!N:N, "x")</f>
        <v>2</v>
      </c>
      <c r="H6" s="6"/>
    </row>
    <row r="7" spans="2:8" ht="14.25" customHeight="1">
      <c r="B7" s="4"/>
      <c r="C7" s="111" t="s">
        <v>22</v>
      </c>
      <c r="D7" s="99"/>
      <c r="E7" s="100"/>
      <c r="F7" s="5">
        <f>COUNTIF('Inf. Personal NO FUN.'!M:M, "x")</f>
        <v>0</v>
      </c>
      <c r="G7" s="5">
        <f>COUNTIF('Inf. Personal NO FUN.'!N:N, "x")</f>
        <v>0</v>
      </c>
      <c r="H7" s="6"/>
    </row>
    <row r="8" spans="2:8" ht="15" customHeight="1">
      <c r="B8" s="4"/>
      <c r="C8" s="111" t="s">
        <v>23</v>
      </c>
      <c r="D8" s="99"/>
      <c r="E8" s="100"/>
      <c r="F8" s="5">
        <f>COUNTIF('Instrumental NO FUN.'!M:M, "x")</f>
        <v>37</v>
      </c>
      <c r="G8" s="27">
        <f>COUNTIF('Instrumental NO FUN.'!N:N, "x")</f>
        <v>1</v>
      </c>
      <c r="H8" s="20"/>
    </row>
    <row r="9" spans="2:8" ht="14.25" customHeight="1">
      <c r="B9" s="4"/>
      <c r="C9" s="101" t="s">
        <v>24</v>
      </c>
      <c r="D9" s="99"/>
      <c r="E9" s="100"/>
      <c r="F9" s="5">
        <f>COUNTIF('Materia prima NO FUN.'!M:M, "x")</f>
        <v>13</v>
      </c>
      <c r="G9" s="5">
        <f>COUNTIF('Materia prima NO FUN.'!N:N, "x")</f>
        <v>1</v>
      </c>
      <c r="H9" s="6"/>
    </row>
    <row r="10" spans="2:8" ht="14.25" customHeight="1">
      <c r="B10" s="75"/>
      <c r="C10" s="112" t="s">
        <v>803</v>
      </c>
      <c r="D10" s="113"/>
      <c r="E10" s="114"/>
      <c r="F10" s="76">
        <f>COUNTIF('Productos NO FUN'!M:M, "x")</f>
        <v>27</v>
      </c>
      <c r="G10" s="76">
        <f>COUNTIF('Productos NO FUN'!N:N, "x")</f>
        <v>0</v>
      </c>
      <c r="H10" s="77"/>
    </row>
    <row r="11" spans="2:8" ht="14.25" customHeight="1">
      <c r="B11" s="75"/>
      <c r="C11" s="112" t="s">
        <v>804</v>
      </c>
      <c r="D11" s="113"/>
      <c r="E11" s="114"/>
      <c r="F11" s="76">
        <f>COUNTIF('Finanzas NO FUN'!M:M, "x")</f>
        <v>27</v>
      </c>
      <c r="G11" s="76">
        <f>COUNTIF('Finanzas NO FUN'!N:N, "x")</f>
        <v>0</v>
      </c>
      <c r="H11" s="77"/>
    </row>
    <row r="12" spans="2:8" ht="14.25" customHeight="1">
      <c r="B12" s="4"/>
      <c r="C12" s="112" t="s">
        <v>25</v>
      </c>
      <c r="D12" s="113"/>
      <c r="E12" s="114"/>
      <c r="F12" s="5">
        <f>COUNTIF('Historial NO FUN.'!M:M, "x")</f>
        <v>82</v>
      </c>
      <c r="G12" s="5">
        <f>COUNTIF('Historial NO FUN.'!N:N, "x")</f>
        <v>0</v>
      </c>
      <c r="H12" s="6"/>
    </row>
    <row r="13" spans="2:8" ht="14.25" customHeight="1">
      <c r="B13" s="4"/>
      <c r="C13" s="101" t="s">
        <v>26</v>
      </c>
      <c r="D13" s="99"/>
      <c r="E13" s="100"/>
      <c r="F13" s="5">
        <f>COUNTIF('Clientes NO FUN.'!M:M, "x")</f>
        <v>3</v>
      </c>
      <c r="G13" s="5">
        <f>COUNTIF('Clientes NO FUN.'!N:N, "x")</f>
        <v>2</v>
      </c>
      <c r="H13" s="6"/>
    </row>
    <row r="14" spans="2:8" ht="14.25" customHeight="1">
      <c r="B14" s="4"/>
      <c r="C14" s="111" t="s">
        <v>27</v>
      </c>
      <c r="D14" s="99"/>
      <c r="E14" s="100"/>
      <c r="F14" s="5">
        <f>COUNTIF('Facturación NO FUN.'!M:M, "x")</f>
        <v>2</v>
      </c>
      <c r="G14" s="5">
        <f>COUNTIF('Facturación NO FUN.'!N:N, "x")</f>
        <v>3</v>
      </c>
      <c r="H14" s="6"/>
    </row>
    <row r="15" spans="2:8" ht="14.25" customHeight="1">
      <c r="B15" s="14"/>
      <c r="C15" s="15"/>
      <c r="D15" s="15"/>
      <c r="E15" s="15"/>
      <c r="F15" s="15"/>
      <c r="G15" s="15"/>
      <c r="H15" s="16"/>
    </row>
    <row r="16" spans="2:8" ht="14.25" customHeight="1">
      <c r="B16" s="25"/>
      <c r="C16" s="12"/>
      <c r="D16" s="12"/>
      <c r="E16" s="12"/>
      <c r="F16" s="12"/>
      <c r="G16" s="12"/>
      <c r="H16" s="20"/>
    </row>
    <row r="17" spans="2:19" ht="14.25" customHeight="1">
      <c r="B17" s="25"/>
      <c r="C17" s="101" t="s">
        <v>28</v>
      </c>
      <c r="D17" s="99"/>
      <c r="E17" s="100"/>
      <c r="F17" s="5">
        <f>COUNTIF('Gestión Usuarios NO FUN.'!M:M, "x")</f>
        <v>2</v>
      </c>
      <c r="G17" s="5">
        <f>COUNTIF('Gestión Usuarios NO FUN.'!N:N, "x")</f>
        <v>3</v>
      </c>
      <c r="H17" s="20"/>
      <c r="K17" s="24"/>
      <c r="L17" s="17"/>
      <c r="M17" s="17"/>
      <c r="N17" s="17"/>
      <c r="O17" s="17"/>
      <c r="P17" s="17"/>
      <c r="Q17" s="17"/>
      <c r="R17" s="17"/>
      <c r="S17" s="18"/>
    </row>
    <row r="18" spans="2:19" ht="14.25" customHeight="1">
      <c r="B18" s="25"/>
      <c r="C18" s="101" t="s">
        <v>29</v>
      </c>
      <c r="D18" s="99"/>
      <c r="E18" s="100"/>
      <c r="F18" s="5">
        <f>COUNTIF('Permisos y Menús NO FUN.'!M:M, "x")</f>
        <v>0</v>
      </c>
      <c r="G18" s="5">
        <f>COUNTIF('Permisos y Menús NO FUN.'!N:N, "x")</f>
        <v>5</v>
      </c>
      <c r="H18" s="20"/>
      <c r="K18" s="25"/>
      <c r="L18" s="102" t="s">
        <v>31</v>
      </c>
      <c r="M18" s="84"/>
      <c r="N18" s="84"/>
      <c r="O18" s="84"/>
      <c r="P18" s="84"/>
      <c r="Q18" s="84"/>
      <c r="R18" s="85"/>
      <c r="S18" s="20"/>
    </row>
    <row r="19" spans="2:19" ht="14.25" customHeight="1">
      <c r="B19" s="25"/>
      <c r="C19" s="116"/>
      <c r="D19" s="99"/>
      <c r="E19" s="100"/>
      <c r="F19" s="5"/>
      <c r="G19" s="5"/>
      <c r="H19" s="20"/>
      <c r="K19" s="25"/>
      <c r="L19" s="103"/>
      <c r="M19" s="104"/>
      <c r="N19" s="104"/>
      <c r="O19" s="104"/>
      <c r="P19" s="104"/>
      <c r="Q19" s="104"/>
      <c r="R19" s="105"/>
      <c r="S19" s="20"/>
    </row>
    <row r="20" spans="2:19" ht="14.25" customHeight="1">
      <c r="B20" s="25"/>
      <c r="C20" s="116"/>
      <c r="D20" s="99"/>
      <c r="E20" s="100"/>
      <c r="F20" s="5"/>
      <c r="G20" s="5"/>
      <c r="H20" s="20"/>
      <c r="K20" s="25"/>
      <c r="L20" s="86"/>
      <c r="M20" s="87"/>
      <c r="N20" s="87"/>
      <c r="O20" s="87"/>
      <c r="P20" s="87"/>
      <c r="Q20" s="87"/>
      <c r="R20" s="88"/>
      <c r="S20" s="20"/>
    </row>
    <row r="21" spans="2:19" ht="14.25" customHeight="1">
      <c r="B21" s="25"/>
      <c r="C21" s="116"/>
      <c r="D21" s="99"/>
      <c r="E21" s="100"/>
      <c r="F21" s="5"/>
      <c r="G21" s="5"/>
      <c r="H21" s="20"/>
      <c r="K21" s="25"/>
      <c r="L21" s="12"/>
      <c r="M21" s="12"/>
      <c r="N21" s="12"/>
      <c r="O21" s="12"/>
      <c r="P21" s="12"/>
      <c r="Q21" s="12"/>
      <c r="R21" s="12"/>
      <c r="S21" s="20"/>
    </row>
    <row r="22" spans="2:19" ht="14.25" customHeight="1">
      <c r="B22" s="25"/>
      <c r="C22" s="116"/>
      <c r="D22" s="99"/>
      <c r="E22" s="100"/>
      <c r="F22" s="5"/>
      <c r="G22" s="5"/>
      <c r="H22" s="20"/>
      <c r="K22" s="25"/>
      <c r="L22" s="96" t="s">
        <v>15</v>
      </c>
      <c r="M22" s="93"/>
      <c r="N22" s="94"/>
      <c r="O22" s="5"/>
      <c r="P22" s="96" t="s">
        <v>16</v>
      </c>
      <c r="Q22" s="93"/>
      <c r="R22" s="94"/>
      <c r="S22" s="20"/>
    </row>
    <row r="23" spans="2:19" ht="14.25" customHeight="1">
      <c r="B23" s="25"/>
      <c r="C23" s="116"/>
      <c r="D23" s="99"/>
      <c r="E23" s="100"/>
      <c r="F23" s="5"/>
      <c r="G23" s="5"/>
      <c r="H23" s="20"/>
      <c r="K23" s="25"/>
      <c r="L23" s="106">
        <f>SUM(F3:F14,F17:F18,)</f>
        <v>291</v>
      </c>
      <c r="M23" s="99"/>
      <c r="N23" s="100"/>
      <c r="O23" s="5"/>
      <c r="P23" s="106">
        <f>SUM(G3:G14,G17:G18,Q3:Q7)</f>
        <v>26</v>
      </c>
      <c r="Q23" s="99"/>
      <c r="R23" s="100"/>
      <c r="S23" s="20"/>
    </row>
    <row r="24" spans="2:19" ht="14.25" customHeight="1">
      <c r="B24" s="25"/>
      <c r="C24" s="116"/>
      <c r="D24" s="99"/>
      <c r="E24" s="100"/>
      <c r="F24" s="5"/>
      <c r="G24" s="5"/>
      <c r="H24" s="20"/>
      <c r="K24" s="25"/>
      <c r="L24" s="12"/>
      <c r="M24" s="12"/>
      <c r="N24" s="12"/>
      <c r="O24" s="12"/>
      <c r="P24" s="12"/>
      <c r="Q24" s="12"/>
      <c r="R24" s="12"/>
      <c r="S24" s="20"/>
    </row>
    <row r="25" spans="2:19" ht="14.25" customHeight="1">
      <c r="B25" s="25"/>
      <c r="C25" s="116"/>
      <c r="D25" s="99"/>
      <c r="E25" s="100"/>
      <c r="F25" s="5"/>
      <c r="G25" s="5"/>
      <c r="H25" s="20"/>
      <c r="K25" s="25"/>
      <c r="L25" s="12"/>
      <c r="M25" s="12"/>
      <c r="N25" s="92" t="s">
        <v>17</v>
      </c>
      <c r="O25" s="93"/>
      <c r="P25" s="94"/>
      <c r="Q25" s="12"/>
      <c r="R25" s="12"/>
      <c r="S25" s="20"/>
    </row>
    <row r="26" spans="2:19" ht="14.25" customHeight="1">
      <c r="B26" s="25"/>
      <c r="C26" s="116"/>
      <c r="D26" s="99"/>
      <c r="E26" s="100"/>
      <c r="F26" s="5"/>
      <c r="G26" s="5"/>
      <c r="H26" s="20"/>
      <c r="K26" s="25"/>
      <c r="L26" s="12"/>
      <c r="M26" s="12"/>
      <c r="N26" s="106">
        <f>SUM(L23,P23)</f>
        <v>317</v>
      </c>
      <c r="O26" s="99"/>
      <c r="P26" s="100"/>
      <c r="Q26" s="12"/>
      <c r="R26" s="12"/>
      <c r="S26" s="20"/>
    </row>
    <row r="27" spans="2:19" ht="14.25" customHeight="1">
      <c r="B27" s="25"/>
      <c r="C27" s="116"/>
      <c r="D27" s="99"/>
      <c r="E27" s="100"/>
      <c r="F27" s="5"/>
      <c r="G27" s="5"/>
      <c r="H27" s="20"/>
      <c r="K27" s="26"/>
      <c r="L27" s="22"/>
      <c r="M27" s="22"/>
      <c r="N27" s="22"/>
      <c r="O27" s="22"/>
      <c r="P27" s="22"/>
      <c r="Q27" s="22"/>
      <c r="R27" s="22"/>
      <c r="S27" s="23"/>
    </row>
    <row r="28" spans="2:19" ht="14.25" customHeight="1">
      <c r="B28" s="25"/>
      <c r="C28" s="116"/>
      <c r="D28" s="99"/>
      <c r="E28" s="100"/>
      <c r="F28" s="5"/>
      <c r="G28" s="5"/>
      <c r="H28" s="20"/>
    </row>
    <row r="29" spans="2:19" ht="14.25" customHeight="1">
      <c r="B29" s="25"/>
      <c r="C29" s="21" t="s">
        <v>13</v>
      </c>
      <c r="D29" s="66"/>
      <c r="E29" s="66"/>
      <c r="F29" s="66"/>
      <c r="G29" s="66"/>
      <c r="H29" s="20"/>
    </row>
    <row r="30" spans="2:19" ht="14.25" customHeight="1">
      <c r="B30" s="25"/>
      <c r="C30" s="116"/>
      <c r="D30" s="99"/>
      <c r="E30" s="100"/>
      <c r="F30" s="5"/>
      <c r="G30" s="5"/>
      <c r="H30" s="20"/>
    </row>
    <row r="31" spans="2:19" ht="14.25" customHeight="1">
      <c r="B31" s="25"/>
      <c r="C31" s="116"/>
      <c r="D31" s="99"/>
      <c r="E31" s="100"/>
      <c r="F31" s="5"/>
      <c r="G31" s="5"/>
      <c r="H31" s="20"/>
    </row>
    <row r="32" spans="2:19" ht="14.25" customHeight="1">
      <c r="B32" s="25"/>
      <c r="C32" s="116"/>
      <c r="D32" s="99"/>
      <c r="E32" s="100"/>
      <c r="F32" s="5"/>
      <c r="G32" s="5"/>
      <c r="H32" s="20"/>
    </row>
    <row r="33" spans="2:8" ht="14.25" customHeight="1">
      <c r="B33" s="25"/>
      <c r="C33" s="116"/>
      <c r="D33" s="99"/>
      <c r="E33" s="100"/>
      <c r="F33" s="5"/>
      <c r="G33" s="5"/>
      <c r="H33" s="20"/>
    </row>
    <row r="34" spans="2:8" ht="14.25" customHeight="1">
      <c r="B34" s="25"/>
      <c r="C34" s="116"/>
      <c r="D34" s="99"/>
      <c r="E34" s="100"/>
      <c r="F34" s="5"/>
      <c r="G34" s="5"/>
      <c r="H34" s="20"/>
    </row>
    <row r="35" spans="2:8" ht="14.25" customHeight="1">
      <c r="B35" s="26"/>
      <c r="C35" s="22"/>
      <c r="D35" s="22"/>
      <c r="E35" s="22"/>
      <c r="F35" s="22"/>
      <c r="G35" s="22"/>
      <c r="H35" s="23"/>
    </row>
    <row r="36" spans="2:8" ht="14.25" customHeight="1"/>
    <row r="37" spans="2:8" ht="14.25" customHeight="1"/>
    <row r="38" spans="2:8" ht="14.25" customHeight="1"/>
    <row r="39" spans="2:8" ht="14.25" customHeight="1"/>
    <row r="40" spans="2:8" ht="14.25" customHeight="1"/>
    <row r="41" spans="2:8" ht="14.25" customHeight="1"/>
    <row r="42" spans="2:8" ht="14.25" customHeight="1"/>
    <row r="43" spans="2:8" ht="14.25" customHeight="1"/>
    <row r="44" spans="2:8" ht="14.25" customHeight="1"/>
    <row r="45" spans="2:8" ht="14.25" customHeight="1"/>
    <row r="46" spans="2:8" ht="14.25" customHeight="1"/>
    <row r="47" spans="2:8" ht="14.25" customHeight="1"/>
    <row r="48" spans="2: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36">
    <mergeCell ref="C6:E6"/>
    <mergeCell ref="C7:E7"/>
    <mergeCell ref="C8:E8"/>
    <mergeCell ref="C3:E3"/>
    <mergeCell ref="C4:E4"/>
    <mergeCell ref="C5:E5"/>
    <mergeCell ref="C9:E9"/>
    <mergeCell ref="C12:E12"/>
    <mergeCell ref="C13:E13"/>
    <mergeCell ref="C14:E14"/>
    <mergeCell ref="C10:E10"/>
    <mergeCell ref="C11:E11"/>
    <mergeCell ref="N26:P26"/>
    <mergeCell ref="C20:E20"/>
    <mergeCell ref="C21:E21"/>
    <mergeCell ref="C22:E22"/>
    <mergeCell ref="L22:N22"/>
    <mergeCell ref="P22:R22"/>
    <mergeCell ref="L23:N23"/>
    <mergeCell ref="P23:R23"/>
    <mergeCell ref="C23:E23"/>
    <mergeCell ref="C17:E17"/>
    <mergeCell ref="C18:E18"/>
    <mergeCell ref="L18:R20"/>
    <mergeCell ref="C19:E19"/>
    <mergeCell ref="N25:P25"/>
    <mergeCell ref="C32:E32"/>
    <mergeCell ref="C33:E33"/>
    <mergeCell ref="C34:E34"/>
    <mergeCell ref="C24:E24"/>
    <mergeCell ref="C25:E25"/>
    <mergeCell ref="C26:E26"/>
    <mergeCell ref="C30:E30"/>
    <mergeCell ref="C31:E31"/>
    <mergeCell ref="C27:E27"/>
    <mergeCell ref="C28:E28"/>
  </mergeCells>
  <hyperlinks>
    <hyperlink ref="C29" location="GENERAL!A1" display="Volver" xr:uid="{00000000-0004-0000-0300-000001000000}"/>
    <hyperlink ref="C10:E10" location="'Productos NO FUN'!A1" display="* Requerimientos Productos" xr:uid="{721FC8BC-D34C-4653-BBA9-0C74A2BFF23D}"/>
    <hyperlink ref="C11:E11" location="'Finanzas NO FUN'!A1" display="* Requerimientos Finanzas" xr:uid="{28480573-A9A3-4C1E-9C21-8A358143EEDB}"/>
    <hyperlink ref="C12:E12" location="'Historial NO FUN.'!A1" display="* Requerimientos Historial" xr:uid="{5C80704D-B114-4373-A9E9-D5439DFE34E1}"/>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993"/>
  <sheetViews>
    <sheetView topLeftCell="A47" workbookViewId="0">
      <selection activeCell="N66" sqref="N66"/>
    </sheetView>
  </sheetViews>
  <sheetFormatPr baseColWidth="10" defaultColWidth="12.5703125" defaultRowHeight="15" customHeight="1"/>
  <cols>
    <col min="1" max="1" width="10.5703125" customWidth="1"/>
    <col min="2" max="2" width="5.28515625" customWidth="1"/>
    <col min="3" max="15" width="10.5703125" customWidth="1"/>
    <col min="16" max="16" width="42.28515625" customWidth="1"/>
    <col min="17" max="26" width="10.5703125" customWidth="1"/>
  </cols>
  <sheetData>
    <row r="1" spans="2:20" ht="14.25" customHeight="1">
      <c r="B1" s="29"/>
    </row>
    <row r="2" spans="2:20" ht="14.25" customHeight="1">
      <c r="B2" s="30" t="s">
        <v>32</v>
      </c>
      <c r="C2" s="126" t="s">
        <v>33</v>
      </c>
      <c r="D2" s="104"/>
      <c r="E2" s="104"/>
      <c r="F2" s="104"/>
      <c r="G2" s="104"/>
      <c r="T2" s="31" t="s">
        <v>13</v>
      </c>
    </row>
    <row r="3" spans="2:20" ht="14.25" customHeight="1">
      <c r="B3" s="30" t="s">
        <v>34</v>
      </c>
      <c r="C3" s="126" t="s">
        <v>35</v>
      </c>
      <c r="D3" s="104"/>
      <c r="E3" s="104"/>
      <c r="F3" s="104"/>
      <c r="G3" s="104"/>
    </row>
    <row r="4" spans="2:20" ht="14.25" customHeight="1">
      <c r="B4" s="30" t="s">
        <v>36</v>
      </c>
      <c r="C4" s="126" t="s">
        <v>37</v>
      </c>
      <c r="D4" s="104"/>
      <c r="E4" s="104"/>
      <c r="F4" s="104"/>
      <c r="G4" s="104"/>
    </row>
    <row r="5" spans="2:20" ht="14.25" customHeight="1">
      <c r="B5" s="127" t="s">
        <v>38</v>
      </c>
      <c r="C5" s="104"/>
      <c r="D5" s="32" t="s">
        <v>39</v>
      </c>
      <c r="E5" s="32"/>
      <c r="F5" s="32"/>
      <c r="G5" s="33"/>
    </row>
    <row r="6" spans="2:20" ht="14.25" customHeight="1">
      <c r="B6" s="29"/>
    </row>
    <row r="7" spans="2:20" ht="14.25" customHeight="1">
      <c r="B7" s="34" t="s">
        <v>40</v>
      </c>
    </row>
    <row r="8" spans="2:20" ht="14.25" customHeight="1">
      <c r="B8" s="29"/>
      <c r="M8" s="128" t="s">
        <v>41</v>
      </c>
      <c r="N8" s="129"/>
      <c r="O8" s="130"/>
      <c r="P8" s="123" t="s">
        <v>42</v>
      </c>
    </row>
    <row r="9" spans="2:20" ht="14.25" customHeight="1">
      <c r="B9" s="35"/>
      <c r="C9" s="36"/>
      <c r="D9" s="36"/>
      <c r="E9" s="125" t="s">
        <v>43</v>
      </c>
      <c r="F9" s="99"/>
      <c r="G9" s="99"/>
      <c r="H9" s="100"/>
      <c r="I9" s="36"/>
      <c r="J9" s="36"/>
      <c r="K9" s="36"/>
      <c r="M9" s="37" t="s">
        <v>32</v>
      </c>
      <c r="N9" s="38" t="s">
        <v>34</v>
      </c>
      <c r="O9" s="38" t="s">
        <v>36</v>
      </c>
      <c r="P9" s="124"/>
    </row>
    <row r="10" spans="2:20" ht="14.25" customHeight="1">
      <c r="B10" s="39"/>
    </row>
    <row r="11" spans="2:20" ht="14.25" customHeight="1">
      <c r="B11" s="40"/>
      <c r="C11" s="120" t="s">
        <v>44</v>
      </c>
      <c r="D11" s="109"/>
      <c r="E11" s="110"/>
      <c r="F11" s="36"/>
      <c r="G11" s="36"/>
      <c r="H11" s="36"/>
      <c r="I11" s="36"/>
      <c r="J11" s="36"/>
      <c r="K11" s="36"/>
    </row>
    <row r="12" spans="2:20" ht="36" customHeight="1">
      <c r="B12" s="41">
        <v>1</v>
      </c>
      <c r="C12" s="117" t="s">
        <v>45</v>
      </c>
      <c r="D12" s="93"/>
      <c r="E12" s="93"/>
      <c r="F12" s="93"/>
      <c r="G12" s="93"/>
      <c r="H12" s="93"/>
      <c r="I12" s="93"/>
      <c r="J12" s="93"/>
      <c r="K12" s="94"/>
      <c r="L12" s="42"/>
      <c r="M12" s="43" t="s">
        <v>46</v>
      </c>
      <c r="N12" s="43"/>
      <c r="O12" s="43"/>
      <c r="P12" s="43"/>
    </row>
    <row r="13" spans="2:20" ht="14.25" customHeight="1">
      <c r="B13" s="35">
        <v>2</v>
      </c>
      <c r="C13" s="117" t="s">
        <v>47</v>
      </c>
      <c r="D13" s="93"/>
      <c r="E13" s="93"/>
      <c r="F13" s="93"/>
      <c r="G13" s="93"/>
      <c r="H13" s="93"/>
      <c r="I13" s="93"/>
      <c r="J13" s="93"/>
      <c r="K13" s="94"/>
      <c r="L13" s="44"/>
      <c r="M13" s="43" t="s">
        <v>46</v>
      </c>
      <c r="N13" s="43"/>
      <c r="O13" s="43"/>
      <c r="P13" s="43"/>
    </row>
    <row r="14" spans="2:20" ht="15.75" customHeight="1">
      <c r="B14" s="35">
        <v>3</v>
      </c>
      <c r="C14" s="117" t="s">
        <v>48</v>
      </c>
      <c r="D14" s="93"/>
      <c r="E14" s="93"/>
      <c r="F14" s="93"/>
      <c r="G14" s="93"/>
      <c r="H14" s="93"/>
      <c r="I14" s="93"/>
      <c r="J14" s="93"/>
      <c r="K14" s="94"/>
      <c r="L14" s="44"/>
      <c r="M14" s="43" t="s">
        <v>46</v>
      </c>
      <c r="N14" s="43"/>
      <c r="O14" s="43"/>
      <c r="P14" s="43"/>
    </row>
    <row r="15" spans="2:20" ht="14.25" customHeight="1">
      <c r="B15" s="29"/>
      <c r="M15" s="29"/>
      <c r="N15" s="29"/>
      <c r="O15" s="29"/>
    </row>
    <row r="16" spans="2:20" ht="14.25" customHeight="1">
      <c r="B16" s="45"/>
      <c r="C16" s="120" t="s">
        <v>49</v>
      </c>
      <c r="D16" s="109"/>
      <c r="E16" s="109"/>
      <c r="F16" s="109"/>
      <c r="G16" s="110"/>
      <c r="H16" s="45"/>
      <c r="I16" s="45"/>
      <c r="J16" s="45"/>
      <c r="K16" s="45"/>
      <c r="M16" s="29"/>
      <c r="N16" s="29"/>
      <c r="O16" s="29"/>
    </row>
    <row r="17" spans="2:16" ht="36.75" customHeight="1">
      <c r="B17" s="41">
        <v>5</v>
      </c>
      <c r="C17" s="117" t="s">
        <v>50</v>
      </c>
      <c r="D17" s="93"/>
      <c r="E17" s="93"/>
      <c r="F17" s="93"/>
      <c r="G17" s="93"/>
      <c r="H17" s="93"/>
      <c r="I17" s="93"/>
      <c r="J17" s="93"/>
      <c r="K17" s="94"/>
      <c r="L17" s="42"/>
      <c r="M17" s="43" t="s">
        <v>46</v>
      </c>
      <c r="N17" s="43"/>
      <c r="O17" s="43"/>
      <c r="P17" s="43"/>
    </row>
    <row r="18" spans="2:16" s="74" customFormat="1" ht="32.25" customHeight="1">
      <c r="B18" s="72">
        <v>6</v>
      </c>
      <c r="C18" s="117" t="s">
        <v>51</v>
      </c>
      <c r="D18" s="121"/>
      <c r="E18" s="121"/>
      <c r="F18" s="121"/>
      <c r="G18" s="121"/>
      <c r="H18" s="121"/>
      <c r="I18" s="121"/>
      <c r="J18" s="121"/>
      <c r="K18" s="122"/>
      <c r="L18" s="73"/>
      <c r="M18" s="58" t="s">
        <v>46</v>
      </c>
      <c r="N18" s="58"/>
      <c r="O18" s="58"/>
      <c r="P18" s="58"/>
    </row>
    <row r="19" spans="2:16" ht="14.25" customHeight="1">
      <c r="B19" s="29"/>
      <c r="M19" s="29"/>
      <c r="N19" s="29"/>
      <c r="O19" s="29"/>
    </row>
    <row r="20" spans="2:16" ht="14.25" customHeight="1">
      <c r="B20" s="45"/>
      <c r="C20" s="120" t="s">
        <v>52</v>
      </c>
      <c r="D20" s="109"/>
      <c r="E20" s="110"/>
      <c r="F20" s="45"/>
      <c r="G20" s="45"/>
      <c r="H20" s="45"/>
      <c r="I20" s="45"/>
      <c r="J20" s="45"/>
      <c r="K20" s="45"/>
      <c r="M20" s="29"/>
      <c r="N20" s="29"/>
      <c r="O20" s="29"/>
    </row>
    <row r="21" spans="2:16" ht="34.5" customHeight="1">
      <c r="B21" s="35">
        <v>8</v>
      </c>
      <c r="C21" s="117" t="s">
        <v>53</v>
      </c>
      <c r="D21" s="93"/>
      <c r="E21" s="93"/>
      <c r="F21" s="93"/>
      <c r="G21" s="93"/>
      <c r="H21" s="93"/>
      <c r="I21" s="93"/>
      <c r="J21" s="93"/>
      <c r="K21" s="94"/>
      <c r="L21" s="44"/>
      <c r="M21" s="43" t="s">
        <v>46</v>
      </c>
      <c r="N21" s="43"/>
      <c r="O21" s="43"/>
      <c r="P21" s="43"/>
    </row>
    <row r="22" spans="2:16" ht="32.25" customHeight="1">
      <c r="B22" s="35">
        <v>9</v>
      </c>
      <c r="C22" s="117" t="s">
        <v>54</v>
      </c>
      <c r="D22" s="93"/>
      <c r="E22" s="93"/>
      <c r="F22" s="93"/>
      <c r="G22" s="93"/>
      <c r="H22" s="93"/>
      <c r="I22" s="93"/>
      <c r="J22" s="93"/>
      <c r="K22" s="94"/>
      <c r="L22" s="44"/>
      <c r="M22" s="82" t="s">
        <v>46</v>
      </c>
      <c r="N22" s="43"/>
      <c r="O22" s="43"/>
      <c r="P22" s="43"/>
    </row>
    <row r="23" spans="2:16" ht="30" customHeight="1">
      <c r="B23" s="35">
        <v>10</v>
      </c>
      <c r="C23" s="117" t="s">
        <v>55</v>
      </c>
      <c r="D23" s="93"/>
      <c r="E23" s="93"/>
      <c r="F23" s="93"/>
      <c r="G23" s="93"/>
      <c r="H23" s="93"/>
      <c r="I23" s="93"/>
      <c r="J23" s="93"/>
      <c r="K23" s="94"/>
      <c r="L23" s="44"/>
      <c r="M23" s="43" t="s">
        <v>46</v>
      </c>
      <c r="N23" s="43"/>
      <c r="O23" s="43"/>
      <c r="P23" s="43"/>
    </row>
    <row r="24" spans="2:16" ht="14.25" customHeight="1">
      <c r="B24" s="29"/>
      <c r="M24" s="29"/>
      <c r="N24" s="29"/>
      <c r="O24" s="29"/>
    </row>
    <row r="25" spans="2:16" ht="14.25" customHeight="1">
      <c r="B25" s="45"/>
      <c r="C25" s="120" t="s">
        <v>56</v>
      </c>
      <c r="D25" s="109"/>
      <c r="E25" s="110"/>
      <c r="F25" s="45"/>
      <c r="G25" s="45"/>
      <c r="H25" s="45"/>
      <c r="I25" s="45"/>
      <c r="J25" s="45"/>
      <c r="K25" s="45"/>
      <c r="M25" s="29"/>
      <c r="N25" s="29"/>
      <c r="O25" s="29"/>
    </row>
    <row r="26" spans="2:16" ht="14.25" customHeight="1">
      <c r="B26" s="41">
        <v>11</v>
      </c>
      <c r="C26" s="117" t="s">
        <v>57</v>
      </c>
      <c r="D26" s="121"/>
      <c r="E26" s="121"/>
      <c r="F26" s="121"/>
      <c r="G26" s="121"/>
      <c r="H26" s="121"/>
      <c r="I26" s="121"/>
      <c r="J26" s="121"/>
      <c r="K26" s="122"/>
      <c r="L26" s="42"/>
      <c r="M26" s="43" t="s">
        <v>46</v>
      </c>
      <c r="N26" s="43"/>
      <c r="O26" s="43"/>
      <c r="P26" s="43"/>
    </row>
    <row r="27" spans="2:16" ht="14.25" customHeight="1">
      <c r="B27" s="35">
        <v>12</v>
      </c>
      <c r="C27" s="117" t="s">
        <v>58</v>
      </c>
      <c r="D27" s="121"/>
      <c r="E27" s="121"/>
      <c r="F27" s="121"/>
      <c r="G27" s="121"/>
      <c r="H27" s="121"/>
      <c r="I27" s="121"/>
      <c r="J27" s="121"/>
      <c r="K27" s="122"/>
      <c r="L27" s="44"/>
      <c r="M27" s="43" t="s">
        <v>46</v>
      </c>
      <c r="N27" s="43"/>
      <c r="O27" s="43"/>
      <c r="P27" s="43"/>
    </row>
    <row r="28" spans="2:16" ht="14.25" customHeight="1">
      <c r="B28" s="35">
        <v>13</v>
      </c>
      <c r="C28" s="117" t="s">
        <v>59</v>
      </c>
      <c r="D28" s="121"/>
      <c r="E28" s="121"/>
      <c r="F28" s="121"/>
      <c r="G28" s="121"/>
      <c r="H28" s="121"/>
      <c r="I28" s="121"/>
      <c r="J28" s="121"/>
      <c r="K28" s="122"/>
      <c r="L28" s="44"/>
      <c r="M28" s="43" t="s">
        <v>46</v>
      </c>
      <c r="N28" s="43"/>
      <c r="O28" s="43"/>
      <c r="P28" s="43"/>
    </row>
    <row r="29" spans="2:16" ht="27.75" customHeight="1">
      <c r="B29" s="35">
        <v>14</v>
      </c>
      <c r="C29" s="117" t="s">
        <v>60</v>
      </c>
      <c r="D29" s="121"/>
      <c r="E29" s="121"/>
      <c r="F29" s="121"/>
      <c r="G29" s="121"/>
      <c r="H29" s="121"/>
      <c r="I29" s="121"/>
      <c r="J29" s="121"/>
      <c r="K29" s="122"/>
      <c r="L29" s="44"/>
      <c r="M29" s="43"/>
      <c r="N29" s="43" t="s">
        <v>46</v>
      </c>
      <c r="O29" s="43"/>
      <c r="P29" s="43"/>
    </row>
    <row r="30" spans="2:16" ht="14.25" customHeight="1">
      <c r="B30" s="29"/>
      <c r="M30" s="29"/>
      <c r="N30" s="29"/>
      <c r="O30" s="29"/>
    </row>
    <row r="31" spans="2:16" ht="14.25" customHeight="1">
      <c r="B31" s="45"/>
      <c r="C31" s="120" t="s">
        <v>61</v>
      </c>
      <c r="D31" s="109"/>
      <c r="E31" s="110"/>
      <c r="F31" s="45"/>
      <c r="G31" s="45"/>
      <c r="H31" s="45"/>
      <c r="I31" s="45"/>
      <c r="J31" s="45"/>
      <c r="K31" s="45"/>
      <c r="M31" s="29"/>
      <c r="N31" s="29"/>
      <c r="O31" s="29"/>
    </row>
    <row r="32" spans="2:16" ht="14.25" customHeight="1">
      <c r="B32" s="41">
        <v>15</v>
      </c>
      <c r="C32" s="117" t="s">
        <v>62</v>
      </c>
      <c r="D32" s="93"/>
      <c r="E32" s="93"/>
      <c r="F32" s="93"/>
      <c r="G32" s="93"/>
      <c r="H32" s="93"/>
      <c r="I32" s="93"/>
      <c r="J32" s="93"/>
      <c r="K32" s="94"/>
      <c r="L32" s="42"/>
      <c r="M32" s="43" t="s">
        <v>46</v>
      </c>
      <c r="N32" s="43"/>
      <c r="O32" s="43"/>
      <c r="P32" s="43"/>
    </row>
    <row r="33" spans="2:16" ht="29.25" customHeight="1">
      <c r="B33" s="35">
        <v>17</v>
      </c>
      <c r="C33" s="117" t="s">
        <v>63</v>
      </c>
      <c r="D33" s="93"/>
      <c r="E33" s="93"/>
      <c r="F33" s="93"/>
      <c r="G33" s="93"/>
      <c r="H33" s="93"/>
      <c r="I33" s="93"/>
      <c r="J33" s="93"/>
      <c r="K33" s="94"/>
      <c r="L33" s="44"/>
      <c r="M33" s="43"/>
      <c r="N33" s="43" t="s">
        <v>46</v>
      </c>
      <c r="O33" s="43"/>
      <c r="P33" s="43"/>
    </row>
    <row r="34" spans="2:16" ht="14.25" customHeight="1">
      <c r="B34" s="29"/>
      <c r="M34" s="29"/>
      <c r="N34" s="29"/>
      <c r="O34" s="29"/>
    </row>
    <row r="35" spans="2:16" ht="14.25" customHeight="1">
      <c r="B35" s="45"/>
      <c r="C35" s="120" t="s">
        <v>64</v>
      </c>
      <c r="D35" s="109"/>
      <c r="E35" s="110"/>
      <c r="F35" s="45"/>
      <c r="G35" s="45"/>
      <c r="H35" s="45"/>
      <c r="I35" s="45"/>
      <c r="J35" s="45"/>
      <c r="K35" s="45"/>
      <c r="M35" s="29"/>
      <c r="N35" s="29"/>
      <c r="O35" s="29"/>
    </row>
    <row r="36" spans="2:16" ht="28.5" customHeight="1">
      <c r="B36" s="41">
        <v>18</v>
      </c>
      <c r="C36" s="117" t="s">
        <v>65</v>
      </c>
      <c r="D36" s="93"/>
      <c r="E36" s="93"/>
      <c r="F36" s="93"/>
      <c r="G36" s="93"/>
      <c r="H36" s="93"/>
      <c r="I36" s="93"/>
      <c r="J36" s="93"/>
      <c r="K36" s="94"/>
      <c r="L36" s="42"/>
      <c r="M36" s="43" t="s">
        <v>46</v>
      </c>
      <c r="N36" s="43"/>
      <c r="O36" s="43"/>
      <c r="P36" s="43"/>
    </row>
    <row r="37" spans="2:16" ht="28.5" customHeight="1">
      <c r="B37" s="41">
        <v>19</v>
      </c>
      <c r="C37" s="117" t="s">
        <v>66</v>
      </c>
      <c r="D37" s="93"/>
      <c r="E37" s="93"/>
      <c r="F37" s="93"/>
      <c r="G37" s="93"/>
      <c r="H37" s="93"/>
      <c r="I37" s="93"/>
      <c r="J37" s="93"/>
      <c r="K37" s="94"/>
      <c r="L37" s="46"/>
      <c r="M37" s="43" t="s">
        <v>46</v>
      </c>
      <c r="N37" s="43"/>
      <c r="O37" s="43"/>
      <c r="P37" s="43"/>
    </row>
    <row r="38" spans="2:16" ht="30.75" customHeight="1">
      <c r="B38" s="29"/>
      <c r="M38" s="29"/>
      <c r="N38" s="29"/>
      <c r="O38" s="29"/>
    </row>
    <row r="39" spans="2:16" ht="14.25" customHeight="1">
      <c r="B39" s="45"/>
      <c r="C39" s="120" t="s">
        <v>67</v>
      </c>
      <c r="D39" s="109"/>
      <c r="E39" s="110"/>
      <c r="F39" s="45"/>
      <c r="G39" s="45"/>
      <c r="H39" s="45"/>
      <c r="I39" s="45"/>
      <c r="J39" s="45"/>
      <c r="K39" s="45"/>
      <c r="M39" s="29"/>
      <c r="N39" s="29"/>
      <c r="O39" s="29"/>
    </row>
    <row r="40" spans="2:16" ht="14.25" customHeight="1">
      <c r="B40" s="41">
        <v>20</v>
      </c>
      <c r="C40" s="117" t="s">
        <v>68</v>
      </c>
      <c r="D40" s="93"/>
      <c r="E40" s="93"/>
      <c r="F40" s="93"/>
      <c r="G40" s="93"/>
      <c r="H40" s="93"/>
      <c r="I40" s="93"/>
      <c r="J40" s="93"/>
      <c r="K40" s="94"/>
      <c r="L40" s="42"/>
      <c r="M40" s="43"/>
      <c r="N40" s="43" t="s">
        <v>46</v>
      </c>
      <c r="O40" s="43"/>
      <c r="P40" s="43"/>
    </row>
    <row r="41" spans="2:16" ht="14.25" customHeight="1">
      <c r="B41" s="35">
        <v>21</v>
      </c>
      <c r="C41" s="119" t="s">
        <v>69</v>
      </c>
      <c r="D41" s="93"/>
      <c r="E41" s="93"/>
      <c r="F41" s="93"/>
      <c r="G41" s="93"/>
      <c r="H41" s="93"/>
      <c r="I41" s="93"/>
      <c r="J41" s="93"/>
      <c r="K41" s="94"/>
      <c r="L41" s="44"/>
      <c r="M41" s="82" t="s">
        <v>46</v>
      </c>
      <c r="N41" s="43"/>
      <c r="O41" s="43"/>
      <c r="P41" s="43"/>
    </row>
    <row r="42" spans="2:16" ht="14.25" customHeight="1">
      <c r="B42" s="29"/>
      <c r="M42" s="29"/>
      <c r="N42" s="29"/>
      <c r="O42" s="29"/>
    </row>
    <row r="43" spans="2:16" ht="14.25" customHeight="1">
      <c r="B43" s="45"/>
      <c r="C43" s="120" t="s">
        <v>70</v>
      </c>
      <c r="D43" s="109"/>
      <c r="E43" s="110"/>
      <c r="F43" s="45"/>
      <c r="G43" s="45"/>
      <c r="H43" s="45"/>
      <c r="I43" s="45"/>
      <c r="J43" s="45"/>
      <c r="K43" s="45"/>
      <c r="M43" s="29"/>
      <c r="N43" s="29"/>
      <c r="O43" s="29"/>
    </row>
    <row r="44" spans="2:16" ht="14.25" customHeight="1">
      <c r="B44" s="41">
        <v>22</v>
      </c>
      <c r="C44" s="117" t="s">
        <v>768</v>
      </c>
      <c r="D44" s="93"/>
      <c r="E44" s="93"/>
      <c r="F44" s="93"/>
      <c r="G44" s="93"/>
      <c r="H44" s="93"/>
      <c r="I44" s="93"/>
      <c r="J44" s="93"/>
      <c r="K44" s="94"/>
      <c r="L44" s="42"/>
      <c r="M44" s="43" t="s">
        <v>46</v>
      </c>
      <c r="N44" s="43"/>
      <c r="O44" s="43"/>
      <c r="P44" s="43"/>
    </row>
    <row r="45" spans="2:16" ht="14.25" customHeight="1">
      <c r="B45" s="35">
        <v>23</v>
      </c>
      <c r="C45" s="119" t="s">
        <v>71</v>
      </c>
      <c r="D45" s="93"/>
      <c r="E45" s="93"/>
      <c r="F45" s="93"/>
      <c r="G45" s="93"/>
      <c r="H45" s="93"/>
      <c r="I45" s="93"/>
      <c r="J45" s="93"/>
      <c r="K45" s="94"/>
      <c r="L45" s="44"/>
      <c r="M45" s="43"/>
      <c r="N45" s="43" t="s">
        <v>46</v>
      </c>
      <c r="O45" s="43"/>
      <c r="P45" s="43"/>
    </row>
    <row r="46" spans="2:16" ht="14.25" customHeight="1">
      <c r="B46" s="29"/>
      <c r="M46" s="29"/>
      <c r="N46" s="29"/>
      <c r="O46" s="29"/>
    </row>
    <row r="47" spans="2:16" ht="14.25" customHeight="1">
      <c r="B47" s="29"/>
      <c r="M47" s="29"/>
      <c r="N47" s="29"/>
      <c r="O47" s="29"/>
    </row>
    <row r="48" spans="2:16" ht="14.25" customHeight="1">
      <c r="B48" s="45"/>
      <c r="C48" s="120" t="s">
        <v>72</v>
      </c>
      <c r="D48" s="109"/>
      <c r="E48" s="110"/>
      <c r="F48" s="45"/>
      <c r="G48" s="45"/>
      <c r="H48" s="45"/>
      <c r="I48" s="45"/>
      <c r="J48" s="45"/>
      <c r="K48" s="45"/>
      <c r="M48" s="29"/>
      <c r="N48" s="29"/>
      <c r="O48" s="29"/>
    </row>
    <row r="49" spans="2:16" ht="31.5" customHeight="1">
      <c r="B49" s="41">
        <v>25</v>
      </c>
      <c r="C49" s="117" t="s">
        <v>73</v>
      </c>
      <c r="D49" s="93"/>
      <c r="E49" s="93"/>
      <c r="F49" s="93"/>
      <c r="G49" s="93"/>
      <c r="H49" s="93"/>
      <c r="I49" s="93"/>
      <c r="J49" s="93"/>
      <c r="K49" s="94"/>
      <c r="L49" s="42"/>
      <c r="M49" s="43" t="s">
        <v>46</v>
      </c>
      <c r="N49" s="43"/>
      <c r="O49" s="43"/>
      <c r="P49" s="43"/>
    </row>
    <row r="50" spans="2:16" ht="14.25" customHeight="1">
      <c r="B50" s="29"/>
      <c r="M50" s="29"/>
      <c r="N50" s="29"/>
      <c r="O50" s="29"/>
    </row>
    <row r="51" spans="2:16" ht="14.25" customHeight="1">
      <c r="B51" s="29"/>
      <c r="M51" s="29"/>
      <c r="N51" s="29"/>
      <c r="O51" s="29"/>
    </row>
    <row r="52" spans="2:16" ht="14.25" customHeight="1">
      <c r="B52" s="45"/>
      <c r="C52" s="120" t="s">
        <v>74</v>
      </c>
      <c r="D52" s="109"/>
      <c r="E52" s="110"/>
      <c r="F52" s="45"/>
      <c r="G52" s="45"/>
      <c r="H52" s="45"/>
      <c r="I52" s="45"/>
      <c r="J52" s="45"/>
      <c r="K52" s="45"/>
      <c r="M52" s="29"/>
      <c r="N52" s="29"/>
      <c r="O52" s="29"/>
    </row>
    <row r="53" spans="2:16" ht="14.25" customHeight="1">
      <c r="B53" s="41">
        <v>27</v>
      </c>
      <c r="C53" s="117" t="s">
        <v>75</v>
      </c>
      <c r="D53" s="93"/>
      <c r="E53" s="93"/>
      <c r="F53" s="93"/>
      <c r="G53" s="93"/>
      <c r="H53" s="93"/>
      <c r="I53" s="93"/>
      <c r="J53" s="93"/>
      <c r="K53" s="94"/>
      <c r="L53" s="42"/>
      <c r="M53" s="43" t="s">
        <v>46</v>
      </c>
      <c r="N53" s="43"/>
      <c r="O53" s="43"/>
      <c r="P53" s="43"/>
    </row>
    <row r="54" spans="2:16" ht="14.25" customHeight="1">
      <c r="B54" s="35">
        <v>28</v>
      </c>
      <c r="C54" s="119" t="s">
        <v>76</v>
      </c>
      <c r="D54" s="93"/>
      <c r="E54" s="93"/>
      <c r="F54" s="93"/>
      <c r="G54" s="93"/>
      <c r="H54" s="93"/>
      <c r="I54" s="93"/>
      <c r="J54" s="93"/>
      <c r="K54" s="94"/>
      <c r="L54" s="44"/>
      <c r="M54" s="43" t="s">
        <v>46</v>
      </c>
      <c r="N54" s="43"/>
      <c r="O54" s="43"/>
      <c r="P54" s="43"/>
    </row>
    <row r="55" spans="2:16" ht="14.25" customHeight="1">
      <c r="B55" s="29"/>
      <c r="M55" s="29"/>
      <c r="N55" s="29"/>
      <c r="O55" s="29"/>
    </row>
    <row r="56" spans="2:16" ht="14.25" customHeight="1">
      <c r="B56" s="45"/>
      <c r="C56" s="120" t="s">
        <v>77</v>
      </c>
      <c r="D56" s="109"/>
      <c r="E56" s="110"/>
      <c r="F56" s="45"/>
      <c r="G56" s="45"/>
      <c r="H56" s="45"/>
      <c r="I56" s="45"/>
      <c r="J56" s="45"/>
      <c r="K56" s="45"/>
      <c r="M56" s="29"/>
      <c r="N56" s="29"/>
      <c r="O56" s="29"/>
    </row>
    <row r="57" spans="2:16" ht="14.25" customHeight="1">
      <c r="B57" s="41">
        <v>29</v>
      </c>
      <c r="C57" s="117" t="s">
        <v>78</v>
      </c>
      <c r="D57" s="93"/>
      <c r="E57" s="93"/>
      <c r="F57" s="93"/>
      <c r="G57" s="93"/>
      <c r="H57" s="93"/>
      <c r="I57" s="93"/>
      <c r="J57" s="93"/>
      <c r="K57" s="94"/>
      <c r="L57" s="42"/>
      <c r="M57" s="43" t="s">
        <v>46</v>
      </c>
      <c r="N57" s="43"/>
      <c r="O57" s="43"/>
      <c r="P57" s="43"/>
    </row>
    <row r="58" spans="2:16" ht="14.25" customHeight="1">
      <c r="B58" s="35">
        <v>30</v>
      </c>
      <c r="C58" s="119" t="s">
        <v>79</v>
      </c>
      <c r="D58" s="93"/>
      <c r="E58" s="93"/>
      <c r="F58" s="93"/>
      <c r="G58" s="93"/>
      <c r="H58" s="93"/>
      <c r="I58" s="93"/>
      <c r="J58" s="93"/>
      <c r="K58" s="94"/>
      <c r="L58" s="44"/>
      <c r="M58" s="43" t="s">
        <v>46</v>
      </c>
      <c r="N58" s="43"/>
      <c r="O58" s="43"/>
      <c r="P58" s="43"/>
    </row>
    <row r="59" spans="2:16" ht="14.25" customHeight="1">
      <c r="B59" s="35">
        <v>31</v>
      </c>
      <c r="C59" s="119" t="s">
        <v>80</v>
      </c>
      <c r="D59" s="93"/>
      <c r="E59" s="93"/>
      <c r="F59" s="93"/>
      <c r="G59" s="93"/>
      <c r="H59" s="93"/>
      <c r="I59" s="93"/>
      <c r="J59" s="93"/>
      <c r="K59" s="94"/>
      <c r="L59" s="44"/>
      <c r="M59" s="43" t="s">
        <v>46</v>
      </c>
      <c r="N59" s="43"/>
      <c r="O59" s="43"/>
      <c r="P59" s="43"/>
    </row>
    <row r="60" spans="2:16" ht="24.75" customHeight="1">
      <c r="B60" s="35">
        <v>32</v>
      </c>
      <c r="C60" s="119" t="s">
        <v>81</v>
      </c>
      <c r="D60" s="93"/>
      <c r="E60" s="93"/>
      <c r="F60" s="93"/>
      <c r="G60" s="93"/>
      <c r="H60" s="93"/>
      <c r="I60" s="93"/>
      <c r="J60" s="93"/>
      <c r="K60" s="94"/>
      <c r="L60" s="44"/>
      <c r="M60" s="43"/>
      <c r="N60" s="43" t="s">
        <v>46</v>
      </c>
      <c r="O60" s="43"/>
      <c r="P60" s="43"/>
    </row>
    <row r="61" spans="2:16" ht="14.25" customHeight="1">
      <c r="B61" s="29"/>
      <c r="M61" s="29"/>
      <c r="N61" s="29"/>
      <c r="O61" s="29"/>
    </row>
    <row r="62" spans="2:16" ht="14.25" customHeight="1">
      <c r="B62" s="45"/>
      <c r="C62" s="120" t="s">
        <v>82</v>
      </c>
      <c r="D62" s="109"/>
      <c r="E62" s="110"/>
      <c r="F62" s="45"/>
      <c r="G62" s="45"/>
      <c r="H62" s="45"/>
      <c r="I62" s="45"/>
      <c r="J62" s="45"/>
      <c r="K62" s="45"/>
      <c r="M62" s="29"/>
      <c r="N62" s="29"/>
      <c r="O62" s="29"/>
    </row>
    <row r="63" spans="2:16" ht="33.75" customHeight="1">
      <c r="B63" s="41">
        <v>33</v>
      </c>
      <c r="C63" s="117" t="s">
        <v>83</v>
      </c>
      <c r="D63" s="93"/>
      <c r="E63" s="93"/>
      <c r="F63" s="93"/>
      <c r="G63" s="93"/>
      <c r="H63" s="93"/>
      <c r="I63" s="93"/>
      <c r="J63" s="93"/>
      <c r="K63" s="94"/>
      <c r="L63" s="42"/>
      <c r="M63" s="43"/>
      <c r="N63" s="43" t="s">
        <v>46</v>
      </c>
      <c r="O63" s="43"/>
      <c r="P63" s="43"/>
    </row>
    <row r="64" spans="2:16" ht="18.75" customHeight="1">
      <c r="B64" s="35">
        <v>34</v>
      </c>
      <c r="C64" s="119" t="s">
        <v>84</v>
      </c>
      <c r="D64" s="93"/>
      <c r="E64" s="93"/>
      <c r="F64" s="93"/>
      <c r="G64" s="93"/>
      <c r="H64" s="93"/>
      <c r="I64" s="93"/>
      <c r="J64" s="93"/>
      <c r="K64" s="94"/>
      <c r="L64" s="44"/>
      <c r="M64" s="43" t="s">
        <v>46</v>
      </c>
      <c r="N64" s="43"/>
      <c r="O64" s="43"/>
      <c r="P64" s="43"/>
    </row>
    <row r="65" spans="2:16" ht="33.75" customHeight="1">
      <c r="B65" s="35">
        <v>35</v>
      </c>
      <c r="C65" s="117" t="s">
        <v>85</v>
      </c>
      <c r="D65" s="93"/>
      <c r="E65" s="93"/>
      <c r="F65" s="93"/>
      <c r="G65" s="93"/>
      <c r="H65" s="93"/>
      <c r="I65" s="93"/>
      <c r="J65" s="93"/>
      <c r="K65" s="94"/>
      <c r="L65" s="44"/>
      <c r="M65" s="43"/>
      <c r="N65" s="43" t="s">
        <v>46</v>
      </c>
      <c r="O65" s="43"/>
      <c r="P65" s="43"/>
    </row>
    <row r="66" spans="2:16" ht="14.25" customHeight="1">
      <c r="B66" s="35">
        <v>36</v>
      </c>
      <c r="C66" s="117" t="s">
        <v>86</v>
      </c>
      <c r="D66" s="93"/>
      <c r="E66" s="93"/>
      <c r="F66" s="93"/>
      <c r="G66" s="93"/>
      <c r="H66" s="93"/>
      <c r="I66" s="93"/>
      <c r="J66" s="93"/>
      <c r="K66" s="94"/>
      <c r="L66" s="44"/>
      <c r="M66" s="82" t="s">
        <v>46</v>
      </c>
      <c r="N66" s="43"/>
      <c r="O66" s="43"/>
      <c r="P66" s="43"/>
    </row>
    <row r="67" spans="2:16" ht="14.25" customHeight="1">
      <c r="B67" s="29"/>
      <c r="M67" s="29"/>
      <c r="N67" s="29"/>
      <c r="O67" s="29"/>
    </row>
    <row r="68" spans="2:16" ht="14.25" customHeight="1">
      <c r="B68" s="45"/>
      <c r="C68" s="118"/>
      <c r="D68" s="109"/>
      <c r="E68" s="110"/>
      <c r="F68" s="45"/>
      <c r="G68" s="45"/>
      <c r="H68" s="45"/>
      <c r="I68" s="45"/>
      <c r="J68" s="45"/>
      <c r="K68" s="45"/>
      <c r="M68" s="29"/>
      <c r="N68" s="29"/>
      <c r="O68" s="29"/>
    </row>
    <row r="69" spans="2:16" ht="14.25" customHeight="1">
      <c r="B69" s="41"/>
      <c r="C69" s="117"/>
      <c r="D69" s="93"/>
      <c r="E69" s="93"/>
      <c r="F69" s="93"/>
      <c r="G69" s="93"/>
      <c r="H69" s="93"/>
      <c r="I69" s="93"/>
      <c r="J69" s="93"/>
      <c r="K69" s="94"/>
      <c r="L69" s="42"/>
      <c r="M69" s="43"/>
      <c r="N69" s="43"/>
      <c r="O69" s="43"/>
      <c r="P69" s="43"/>
    </row>
    <row r="70" spans="2:16" ht="14.25" customHeight="1">
      <c r="B70" s="35"/>
      <c r="C70" s="119"/>
      <c r="D70" s="93"/>
      <c r="E70" s="93"/>
      <c r="F70" s="93"/>
      <c r="G70" s="93"/>
      <c r="H70" s="93"/>
      <c r="I70" s="93"/>
      <c r="J70" s="93"/>
      <c r="K70" s="94"/>
      <c r="L70" s="44"/>
      <c r="M70" s="43"/>
      <c r="N70" s="43"/>
      <c r="O70" s="43"/>
      <c r="P70" s="43"/>
    </row>
    <row r="71" spans="2:16" ht="14.25" customHeight="1">
      <c r="B71" s="29"/>
    </row>
    <row r="72" spans="2:16" ht="14.25" customHeight="1">
      <c r="B72" s="29"/>
    </row>
    <row r="73" spans="2:16" ht="14.25" customHeight="1">
      <c r="B73" s="29"/>
    </row>
    <row r="74" spans="2:16" ht="14.25" customHeight="1">
      <c r="B74" s="29"/>
    </row>
    <row r="75" spans="2:16" ht="14.25" customHeight="1">
      <c r="B75" s="29"/>
    </row>
    <row r="76" spans="2:16" ht="14.25" customHeight="1">
      <c r="B76" s="29"/>
    </row>
    <row r="77" spans="2:16" ht="14.25" customHeight="1">
      <c r="B77" s="29"/>
    </row>
    <row r="78" spans="2:16" ht="14.25" customHeight="1">
      <c r="B78" s="29"/>
    </row>
    <row r="79" spans="2:16" ht="14.25" customHeight="1">
      <c r="B79" s="29"/>
    </row>
    <row r="80" spans="2:16"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sheetData>
  <mergeCells count="53">
    <mergeCell ref="C2:G2"/>
    <mergeCell ref="C3:G3"/>
    <mergeCell ref="C4:G4"/>
    <mergeCell ref="B5:C5"/>
    <mergeCell ref="M8:O8"/>
    <mergeCell ref="P8:P9"/>
    <mergeCell ref="E9:H9"/>
    <mergeCell ref="C11:E11"/>
    <mergeCell ref="C12:K12"/>
    <mergeCell ref="C13:K13"/>
    <mergeCell ref="C14:K14"/>
    <mergeCell ref="C16:G16"/>
    <mergeCell ref="C17:K17"/>
    <mergeCell ref="C18:K18"/>
    <mergeCell ref="C20:E20"/>
    <mergeCell ref="C21:K21"/>
    <mergeCell ref="C22:K22"/>
    <mergeCell ref="C23:K23"/>
    <mergeCell ref="C25:E25"/>
    <mergeCell ref="C26:K26"/>
    <mergeCell ref="C27:K27"/>
    <mergeCell ref="C28:K28"/>
    <mergeCell ref="C29:K29"/>
    <mergeCell ref="C32:K32"/>
    <mergeCell ref="C33:K33"/>
    <mergeCell ref="C36:K36"/>
    <mergeCell ref="C37:K37"/>
    <mergeCell ref="C31:E31"/>
    <mergeCell ref="C35:E35"/>
    <mergeCell ref="C39:E39"/>
    <mergeCell ref="C43:E43"/>
    <mergeCell ref="C40:K40"/>
    <mergeCell ref="C41:K41"/>
    <mergeCell ref="C44:K44"/>
    <mergeCell ref="C45:K45"/>
    <mergeCell ref="C48:E48"/>
    <mergeCell ref="C60:K60"/>
    <mergeCell ref="C63:K63"/>
    <mergeCell ref="C64:K64"/>
    <mergeCell ref="C52:E52"/>
    <mergeCell ref="C56:E56"/>
    <mergeCell ref="C62:E62"/>
    <mergeCell ref="C49:K49"/>
    <mergeCell ref="C53:K53"/>
    <mergeCell ref="C54:K54"/>
    <mergeCell ref="C57:K57"/>
    <mergeCell ref="C58:K58"/>
    <mergeCell ref="C59:K59"/>
    <mergeCell ref="C65:K65"/>
    <mergeCell ref="C66:K66"/>
    <mergeCell ref="C68:E68"/>
    <mergeCell ref="C69:K69"/>
    <mergeCell ref="C70:K70"/>
  </mergeCells>
  <hyperlinks>
    <hyperlink ref="T2" location="'REQ. USUARIO'!A1" display="Volver"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97"/>
  <sheetViews>
    <sheetView workbookViewId="0">
      <selection activeCell="M24" sqref="M24"/>
    </sheetView>
  </sheetViews>
  <sheetFormatPr baseColWidth="10" defaultColWidth="12.5703125" defaultRowHeight="15" customHeight="1"/>
  <cols>
    <col min="1" max="1" width="10.5703125" customWidth="1"/>
    <col min="2" max="2" width="5" customWidth="1"/>
    <col min="3" max="15" width="10.5703125" customWidth="1"/>
    <col min="16" max="16" width="30.42578125" customWidth="1"/>
    <col min="17" max="26" width="10.5703125" customWidth="1"/>
  </cols>
  <sheetData>
    <row r="1" spans="1:21" ht="14.25" customHeight="1">
      <c r="A1" s="47" t="s">
        <v>87</v>
      </c>
      <c r="B1" s="29"/>
    </row>
    <row r="2" spans="1:21" ht="14.25" customHeight="1">
      <c r="B2" s="30" t="s">
        <v>32</v>
      </c>
      <c r="C2" s="126" t="s">
        <v>33</v>
      </c>
      <c r="D2" s="104"/>
      <c r="E2" s="104"/>
      <c r="F2" s="104"/>
      <c r="G2" s="104"/>
      <c r="U2" s="31" t="s">
        <v>13</v>
      </c>
    </row>
    <row r="3" spans="1:21" ht="14.25" customHeight="1">
      <c r="B3" s="30" t="s">
        <v>34</v>
      </c>
      <c r="C3" s="126" t="s">
        <v>35</v>
      </c>
      <c r="D3" s="104"/>
      <c r="E3" s="104"/>
      <c r="F3" s="104"/>
      <c r="G3" s="104"/>
    </row>
    <row r="4" spans="1:21" ht="14.25" customHeight="1">
      <c r="B4" s="30" t="s">
        <v>36</v>
      </c>
      <c r="C4" s="126" t="s">
        <v>37</v>
      </c>
      <c r="D4" s="104"/>
      <c r="E4" s="104"/>
      <c r="F4" s="104"/>
      <c r="G4" s="104"/>
    </row>
    <row r="5" spans="1:21" ht="14.25" customHeight="1">
      <c r="B5" s="127" t="s">
        <v>38</v>
      </c>
      <c r="C5" s="104"/>
      <c r="D5" s="32" t="s">
        <v>39</v>
      </c>
      <c r="E5" s="32"/>
      <c r="F5" s="32"/>
      <c r="G5" s="33"/>
    </row>
    <row r="6" spans="1:21" ht="14.25" customHeight="1">
      <c r="B6" s="29"/>
    </row>
    <row r="7" spans="1:21" ht="14.25" customHeight="1">
      <c r="B7" s="34" t="s">
        <v>40</v>
      </c>
    </row>
    <row r="8" spans="1:21" ht="14.25" customHeight="1">
      <c r="B8" s="29"/>
      <c r="M8" s="128" t="s">
        <v>41</v>
      </c>
      <c r="N8" s="129"/>
      <c r="O8" s="130"/>
      <c r="P8" s="123" t="s">
        <v>42</v>
      </c>
    </row>
    <row r="9" spans="1:21" ht="14.25" customHeight="1">
      <c r="B9" s="35"/>
      <c r="C9" s="36"/>
      <c r="D9" s="125" t="s">
        <v>88</v>
      </c>
      <c r="E9" s="99"/>
      <c r="F9" s="99"/>
      <c r="G9" s="99"/>
      <c r="H9" s="99"/>
      <c r="I9" s="100"/>
      <c r="J9" s="36"/>
      <c r="K9" s="36"/>
      <c r="M9" s="37" t="s">
        <v>32</v>
      </c>
      <c r="N9" s="38" t="s">
        <v>34</v>
      </c>
      <c r="O9" s="38" t="s">
        <v>36</v>
      </c>
      <c r="P9" s="124"/>
    </row>
    <row r="10" spans="1:21" ht="14.25" customHeight="1">
      <c r="B10" s="39"/>
    </row>
    <row r="11" spans="1:21" ht="14.25" customHeight="1">
      <c r="B11" s="40"/>
      <c r="C11" s="120" t="s">
        <v>89</v>
      </c>
      <c r="D11" s="109"/>
      <c r="E11" s="110"/>
      <c r="F11" s="36"/>
      <c r="G11" s="36"/>
      <c r="H11" s="36"/>
      <c r="I11" s="36"/>
      <c r="J11" s="36"/>
      <c r="K11" s="36"/>
    </row>
    <row r="12" spans="1:21" ht="14.25" customHeight="1">
      <c r="B12" s="41">
        <v>1</v>
      </c>
      <c r="C12" s="117" t="s">
        <v>90</v>
      </c>
      <c r="D12" s="93"/>
      <c r="E12" s="93"/>
      <c r="F12" s="93"/>
      <c r="G12" s="93"/>
      <c r="H12" s="93"/>
      <c r="I12" s="93"/>
      <c r="J12" s="93"/>
      <c r="K12" s="94"/>
      <c r="L12" s="42"/>
      <c r="M12" s="43" t="s">
        <v>46</v>
      </c>
      <c r="N12" s="43"/>
      <c r="O12" s="43"/>
      <c r="P12" s="43"/>
    </row>
    <row r="13" spans="1:21" ht="14.25" customHeight="1">
      <c r="B13" s="35">
        <v>2</v>
      </c>
      <c r="C13" s="117" t="s">
        <v>91</v>
      </c>
      <c r="D13" s="93"/>
      <c r="E13" s="93"/>
      <c r="F13" s="93"/>
      <c r="G13" s="93"/>
      <c r="H13" s="93"/>
      <c r="I13" s="93"/>
      <c r="J13" s="93"/>
      <c r="K13" s="94"/>
      <c r="L13" s="44"/>
      <c r="M13" s="43" t="s">
        <v>46</v>
      </c>
      <c r="N13" s="43"/>
      <c r="O13" s="43"/>
      <c r="P13" s="48"/>
    </row>
    <row r="14" spans="1:21" ht="15.75" customHeight="1">
      <c r="B14" s="41">
        <v>3</v>
      </c>
      <c r="C14" s="119" t="s">
        <v>92</v>
      </c>
      <c r="D14" s="93"/>
      <c r="E14" s="93"/>
      <c r="F14" s="93"/>
      <c r="G14" s="93"/>
      <c r="H14" s="93"/>
      <c r="I14" s="93"/>
      <c r="J14" s="93"/>
      <c r="K14" s="94"/>
      <c r="M14" s="82" t="s">
        <v>46</v>
      </c>
      <c r="N14" s="43"/>
      <c r="O14" s="43"/>
      <c r="P14" s="43"/>
    </row>
    <row r="15" spans="1:21" ht="15.75" customHeight="1">
      <c r="B15" s="41">
        <v>5</v>
      </c>
      <c r="C15" s="117" t="s">
        <v>93</v>
      </c>
      <c r="D15" s="93"/>
      <c r="E15" s="93"/>
      <c r="F15" s="93"/>
      <c r="G15" s="93"/>
      <c r="H15" s="93"/>
      <c r="I15" s="93"/>
      <c r="J15" s="93"/>
      <c r="K15" s="94"/>
      <c r="M15" s="43"/>
      <c r="N15" s="43" t="s">
        <v>46</v>
      </c>
      <c r="O15" s="43"/>
      <c r="P15" s="43"/>
    </row>
    <row r="16" spans="1:21" ht="15.75" customHeight="1">
      <c r="B16" s="41">
        <v>6</v>
      </c>
      <c r="C16" s="117" t="s">
        <v>94</v>
      </c>
      <c r="D16" s="93"/>
      <c r="E16" s="93"/>
      <c r="F16" s="93"/>
      <c r="G16" s="93"/>
      <c r="H16" s="93"/>
      <c r="I16" s="93"/>
      <c r="J16" s="93"/>
      <c r="K16" s="94"/>
      <c r="M16" s="43"/>
      <c r="N16" s="43" t="s">
        <v>46</v>
      </c>
      <c r="O16" s="43"/>
      <c r="P16" s="43"/>
    </row>
    <row r="17" spans="2:16" ht="14.25" customHeight="1">
      <c r="B17" s="29"/>
    </row>
    <row r="18" spans="2:16" ht="14.25" customHeight="1">
      <c r="B18" s="40"/>
      <c r="C18" s="120" t="s">
        <v>95</v>
      </c>
      <c r="D18" s="109"/>
      <c r="E18" s="110"/>
      <c r="F18" s="36"/>
      <c r="G18" s="36"/>
      <c r="H18" s="36"/>
      <c r="I18" s="36"/>
      <c r="J18" s="36"/>
      <c r="K18" s="36"/>
    </row>
    <row r="19" spans="2:16" ht="14.25" customHeight="1">
      <c r="B19" s="41">
        <v>7</v>
      </c>
      <c r="C19" s="117" t="s">
        <v>96</v>
      </c>
      <c r="D19" s="93"/>
      <c r="E19" s="93"/>
      <c r="F19" s="93"/>
      <c r="G19" s="93"/>
      <c r="H19" s="93"/>
      <c r="I19" s="93"/>
      <c r="J19" s="93"/>
      <c r="K19" s="94"/>
      <c r="M19" s="43" t="s">
        <v>46</v>
      </c>
      <c r="N19" s="43"/>
      <c r="O19" s="43"/>
      <c r="P19" s="43"/>
    </row>
    <row r="20" spans="2:16" ht="14.25" customHeight="1">
      <c r="B20" s="41">
        <v>8</v>
      </c>
      <c r="C20" s="117" t="s">
        <v>97</v>
      </c>
      <c r="D20" s="93"/>
      <c r="E20" s="93"/>
      <c r="F20" s="93"/>
      <c r="G20" s="93"/>
      <c r="H20" s="93"/>
      <c r="I20" s="93"/>
      <c r="J20" s="93"/>
      <c r="K20" s="94"/>
      <c r="M20" s="82" t="s">
        <v>46</v>
      </c>
      <c r="N20" s="43"/>
      <c r="O20" s="43"/>
      <c r="P20" s="43"/>
    </row>
    <row r="21" spans="2:16" ht="14.25" customHeight="1">
      <c r="B21" s="29"/>
    </row>
    <row r="22" spans="2:16" ht="14.25" customHeight="1">
      <c r="B22" s="40"/>
      <c r="C22" s="120" t="s">
        <v>98</v>
      </c>
      <c r="D22" s="109"/>
      <c r="E22" s="110"/>
      <c r="F22" s="36"/>
      <c r="G22" s="36"/>
      <c r="H22" s="36"/>
      <c r="I22" s="36"/>
      <c r="J22" s="36"/>
      <c r="K22" s="36"/>
    </row>
    <row r="23" spans="2:16" ht="29.25" customHeight="1">
      <c r="B23" s="41">
        <v>9</v>
      </c>
      <c r="C23" s="117" t="s">
        <v>99</v>
      </c>
      <c r="D23" s="93"/>
      <c r="E23" s="93"/>
      <c r="F23" s="93"/>
      <c r="G23" s="93"/>
      <c r="H23" s="93"/>
      <c r="I23" s="93"/>
      <c r="J23" s="93"/>
      <c r="K23" s="94"/>
      <c r="M23" s="43" t="s">
        <v>46</v>
      </c>
      <c r="N23" s="43"/>
      <c r="O23" s="43"/>
      <c r="P23" s="43"/>
    </row>
    <row r="24" spans="2:16" ht="34.5" customHeight="1">
      <c r="B24" s="41">
        <v>10</v>
      </c>
      <c r="C24" s="117" t="s">
        <v>100</v>
      </c>
      <c r="D24" s="93"/>
      <c r="E24" s="93"/>
      <c r="F24" s="93"/>
      <c r="G24" s="93"/>
      <c r="H24" s="93"/>
      <c r="I24" s="93"/>
      <c r="J24" s="93"/>
      <c r="K24" s="94"/>
      <c r="M24" s="43"/>
      <c r="N24" s="43" t="s">
        <v>46</v>
      </c>
      <c r="O24" s="43"/>
      <c r="P24" s="43"/>
    </row>
    <row r="25" spans="2:16" ht="35.25" customHeight="1">
      <c r="B25" s="41">
        <v>11</v>
      </c>
      <c r="C25" s="117" t="s">
        <v>101</v>
      </c>
      <c r="D25" s="93"/>
      <c r="E25" s="93"/>
      <c r="F25" s="93"/>
      <c r="G25" s="93"/>
      <c r="H25" s="93"/>
      <c r="I25" s="93"/>
      <c r="J25" s="93"/>
      <c r="K25" s="94"/>
      <c r="M25" s="43"/>
      <c r="N25" s="43" t="s">
        <v>46</v>
      </c>
      <c r="O25" s="43"/>
      <c r="P25" s="43"/>
    </row>
    <row r="26" spans="2:16" ht="14.25" customHeight="1">
      <c r="B26" s="29"/>
    </row>
    <row r="27" spans="2:16" ht="14.25" customHeight="1">
      <c r="B27" s="40"/>
      <c r="C27" s="120" t="s">
        <v>102</v>
      </c>
      <c r="D27" s="109"/>
      <c r="E27" s="110"/>
      <c r="F27" s="36"/>
      <c r="G27" s="36"/>
      <c r="H27" s="36"/>
      <c r="I27" s="36"/>
      <c r="J27" s="36"/>
      <c r="K27" s="36"/>
    </row>
    <row r="28" spans="2:16" ht="14.25" customHeight="1">
      <c r="B28" s="41">
        <v>12</v>
      </c>
      <c r="C28" s="117" t="s">
        <v>103</v>
      </c>
      <c r="D28" s="93"/>
      <c r="E28" s="93"/>
      <c r="F28" s="93"/>
      <c r="G28" s="93"/>
      <c r="H28" s="93"/>
      <c r="I28" s="93"/>
      <c r="J28" s="93"/>
      <c r="K28" s="94"/>
      <c r="M28" s="43" t="s">
        <v>46</v>
      </c>
      <c r="N28" s="43"/>
      <c r="O28" s="43"/>
      <c r="P28" s="43"/>
    </row>
    <row r="29" spans="2:16" ht="14.25" customHeight="1">
      <c r="B29" s="41">
        <v>13</v>
      </c>
      <c r="C29" s="117" t="s">
        <v>104</v>
      </c>
      <c r="D29" s="93"/>
      <c r="E29" s="93"/>
      <c r="F29" s="93"/>
      <c r="G29" s="93"/>
      <c r="H29" s="93"/>
      <c r="I29" s="93"/>
      <c r="J29" s="93"/>
      <c r="K29" s="94"/>
      <c r="M29" s="43" t="s">
        <v>46</v>
      </c>
      <c r="N29" s="43"/>
      <c r="O29" s="43"/>
      <c r="P29" s="43"/>
    </row>
    <row r="30" spans="2:16" ht="14.25" customHeight="1">
      <c r="B30" s="29"/>
    </row>
    <row r="31" spans="2:16" ht="14.25" customHeight="1">
      <c r="B31" s="40"/>
      <c r="C31" s="120" t="s">
        <v>105</v>
      </c>
      <c r="D31" s="109"/>
      <c r="E31" s="110"/>
      <c r="F31" s="36"/>
      <c r="G31" s="36"/>
      <c r="H31" s="36"/>
      <c r="I31" s="36"/>
      <c r="J31" s="36"/>
      <c r="K31" s="36"/>
    </row>
    <row r="32" spans="2:16" ht="14.25" customHeight="1">
      <c r="B32" s="41">
        <v>15</v>
      </c>
      <c r="C32" s="117" t="s">
        <v>106</v>
      </c>
      <c r="D32" s="93"/>
      <c r="E32" s="93"/>
      <c r="F32" s="93"/>
      <c r="G32" s="93"/>
      <c r="H32" s="93"/>
      <c r="I32" s="93"/>
      <c r="J32" s="93"/>
      <c r="K32" s="94"/>
      <c r="M32" s="43" t="s">
        <v>46</v>
      </c>
      <c r="N32" s="43"/>
      <c r="O32" s="43"/>
      <c r="P32" s="43"/>
    </row>
    <row r="33" spans="2:16" ht="14.25" customHeight="1">
      <c r="B33" s="41">
        <v>16</v>
      </c>
      <c r="C33" s="117" t="s">
        <v>107</v>
      </c>
      <c r="D33" s="93"/>
      <c r="E33" s="93"/>
      <c r="F33" s="93"/>
      <c r="G33" s="93"/>
      <c r="H33" s="93"/>
      <c r="I33" s="93"/>
      <c r="J33" s="93"/>
      <c r="K33" s="94"/>
      <c r="M33" s="43" t="s">
        <v>46</v>
      </c>
      <c r="N33" s="43"/>
      <c r="O33" s="43"/>
      <c r="P33" s="43"/>
    </row>
    <row r="34" spans="2:16" ht="14.25" customHeight="1">
      <c r="B34" s="41">
        <v>17</v>
      </c>
      <c r="C34" s="117" t="s">
        <v>108</v>
      </c>
      <c r="D34" s="93"/>
      <c r="E34" s="93"/>
      <c r="F34" s="93"/>
      <c r="G34" s="93"/>
      <c r="H34" s="93"/>
      <c r="I34" s="93"/>
      <c r="J34" s="93"/>
      <c r="K34" s="94"/>
      <c r="M34" s="43"/>
      <c r="N34" s="43" t="s">
        <v>46</v>
      </c>
      <c r="O34" s="43"/>
      <c r="P34" s="43"/>
    </row>
    <row r="35" spans="2:16" ht="31.5" customHeight="1">
      <c r="B35" s="41">
        <v>18</v>
      </c>
      <c r="C35" s="117" t="s">
        <v>769</v>
      </c>
      <c r="D35" s="93"/>
      <c r="E35" s="93"/>
      <c r="F35" s="93"/>
      <c r="G35" s="93"/>
      <c r="H35" s="93"/>
      <c r="I35" s="93"/>
      <c r="J35" s="93"/>
      <c r="K35" s="94"/>
      <c r="M35" s="43" t="s">
        <v>46</v>
      </c>
      <c r="N35" s="43"/>
      <c r="O35" s="43"/>
      <c r="P35" s="43"/>
    </row>
    <row r="36" spans="2:16" ht="14.25" customHeight="1">
      <c r="B36" s="29"/>
    </row>
    <row r="37" spans="2:16" ht="14.25" customHeight="1">
      <c r="B37" s="40"/>
      <c r="C37" s="120" t="s">
        <v>109</v>
      </c>
      <c r="D37" s="109"/>
      <c r="E37" s="110"/>
      <c r="F37" s="36"/>
      <c r="G37" s="36"/>
      <c r="H37" s="36"/>
      <c r="I37" s="36"/>
      <c r="J37" s="36"/>
      <c r="K37" s="36"/>
    </row>
    <row r="38" spans="2:16" ht="15.75" customHeight="1">
      <c r="B38" s="41">
        <v>19</v>
      </c>
      <c r="C38" s="117" t="s">
        <v>110</v>
      </c>
      <c r="D38" s="93"/>
      <c r="E38" s="93"/>
      <c r="F38" s="93"/>
      <c r="G38" s="93"/>
      <c r="H38" s="93"/>
      <c r="I38" s="93"/>
      <c r="J38" s="93"/>
      <c r="K38" s="94"/>
      <c r="M38" s="43"/>
      <c r="N38" s="43" t="s">
        <v>46</v>
      </c>
      <c r="O38" s="43"/>
      <c r="P38" s="43"/>
    </row>
    <row r="39" spans="2:16" ht="33" customHeight="1">
      <c r="B39" s="41">
        <v>20</v>
      </c>
      <c r="C39" s="117" t="s">
        <v>111</v>
      </c>
      <c r="D39" s="93"/>
      <c r="E39" s="93"/>
      <c r="F39" s="93"/>
      <c r="G39" s="93"/>
      <c r="H39" s="93"/>
      <c r="I39" s="93"/>
      <c r="J39" s="93"/>
      <c r="K39" s="94"/>
      <c r="M39" s="43" t="s">
        <v>46</v>
      </c>
      <c r="N39" s="43"/>
      <c r="O39" s="43"/>
      <c r="P39" s="43"/>
    </row>
    <row r="40" spans="2:16" ht="14.25" customHeight="1">
      <c r="B40" s="29"/>
    </row>
    <row r="41" spans="2:16" ht="14.25" customHeight="1">
      <c r="B41" s="45"/>
      <c r="C41" s="120" t="s">
        <v>82</v>
      </c>
      <c r="D41" s="109"/>
      <c r="E41" s="110"/>
      <c r="F41" s="45"/>
      <c r="G41" s="45"/>
      <c r="H41" s="45"/>
      <c r="I41" s="45"/>
      <c r="J41" s="45"/>
      <c r="K41" s="45"/>
    </row>
    <row r="42" spans="2:16" ht="30" customHeight="1">
      <c r="B42" s="35">
        <v>22</v>
      </c>
      <c r="C42" s="117" t="s">
        <v>112</v>
      </c>
      <c r="D42" s="93"/>
      <c r="E42" s="93"/>
      <c r="F42" s="93"/>
      <c r="G42" s="93"/>
      <c r="H42" s="93"/>
      <c r="I42" s="93"/>
      <c r="J42" s="93"/>
      <c r="K42" s="94"/>
      <c r="M42" s="43" t="s">
        <v>46</v>
      </c>
      <c r="N42" s="43"/>
      <c r="O42" s="43"/>
      <c r="P42" s="43"/>
    </row>
    <row r="43" spans="2:16" ht="15.75" customHeight="1">
      <c r="B43" s="35">
        <v>23</v>
      </c>
      <c r="C43" s="117" t="s">
        <v>113</v>
      </c>
      <c r="D43" s="93"/>
      <c r="E43" s="93"/>
      <c r="F43" s="93"/>
      <c r="G43" s="93"/>
      <c r="H43" s="93"/>
      <c r="I43" s="93"/>
      <c r="J43" s="93"/>
      <c r="K43" s="94"/>
      <c r="M43" s="43" t="s">
        <v>46</v>
      </c>
      <c r="N43" s="43"/>
      <c r="O43" s="43"/>
      <c r="P43" s="43"/>
    </row>
    <row r="44" spans="2:16" ht="20.25" customHeight="1">
      <c r="B44" s="35">
        <v>24</v>
      </c>
      <c r="C44" s="117" t="s">
        <v>114</v>
      </c>
      <c r="D44" s="93"/>
      <c r="E44" s="93"/>
      <c r="F44" s="93"/>
      <c r="G44" s="93"/>
      <c r="H44" s="93"/>
      <c r="I44" s="93"/>
      <c r="J44" s="93"/>
      <c r="K44" s="94"/>
      <c r="M44" s="43"/>
      <c r="N44" s="43" t="s">
        <v>46</v>
      </c>
      <c r="O44" s="43"/>
      <c r="P44" s="43"/>
    </row>
    <row r="45" spans="2:16" ht="14.25" customHeight="1">
      <c r="B45" s="29"/>
    </row>
    <row r="46" spans="2:16" ht="14.25" customHeight="1">
      <c r="B46" s="29"/>
    </row>
    <row r="47" spans="2:16" ht="14.25" customHeight="1">
      <c r="B47" s="29"/>
    </row>
    <row r="48" spans="2:16" ht="14.25" customHeight="1">
      <c r="B48" s="29"/>
    </row>
    <row r="49" spans="2:2" ht="14.25" customHeight="1">
      <c r="B49" s="29"/>
    </row>
    <row r="50" spans="2:2" ht="14.25" customHeight="1">
      <c r="B50" s="29"/>
    </row>
    <row r="51" spans="2:2" ht="14.25" customHeight="1">
      <c r="B51" s="29"/>
    </row>
    <row r="52" spans="2:2" ht="14.25" customHeight="1">
      <c r="B52" s="29"/>
    </row>
    <row r="53" spans="2:2" ht="14.25" customHeight="1">
      <c r="B53" s="29"/>
    </row>
    <row r="54" spans="2:2" ht="14.25" customHeight="1">
      <c r="B54" s="29"/>
    </row>
    <row r="55" spans="2:2" ht="14.25" customHeight="1">
      <c r="B55" s="29"/>
    </row>
    <row r="56" spans="2:2" ht="14.25" customHeight="1">
      <c r="B56" s="29"/>
    </row>
    <row r="57" spans="2:2" ht="14.25" customHeight="1">
      <c r="B57" s="29"/>
    </row>
    <row r="58" spans="2:2" ht="14.25" customHeight="1">
      <c r="B58" s="29"/>
    </row>
    <row r="59" spans="2:2" ht="14.25" customHeight="1">
      <c r="B59" s="29"/>
    </row>
    <row r="60" spans="2:2" ht="14.25" customHeight="1">
      <c r="B60" s="29"/>
    </row>
    <row r="61" spans="2:2" ht="14.25" customHeight="1">
      <c r="B61" s="29"/>
    </row>
    <row r="62" spans="2:2" ht="14.25" customHeight="1">
      <c r="B62" s="29"/>
    </row>
    <row r="63" spans="2:2" ht="14.25" customHeight="1">
      <c r="B63" s="29"/>
    </row>
    <row r="64" spans="2:2" ht="14.25" customHeight="1">
      <c r="B64" s="29"/>
    </row>
    <row r="65" spans="2:2" ht="14.25" customHeight="1">
      <c r="B65" s="29"/>
    </row>
    <row r="66" spans="2:2" ht="14.25" customHeight="1">
      <c r="B66" s="29"/>
    </row>
    <row r="67" spans="2:2" ht="14.25" customHeight="1">
      <c r="B67" s="29"/>
    </row>
    <row r="68" spans="2:2" ht="14.25" customHeight="1">
      <c r="B68" s="29"/>
    </row>
    <row r="69" spans="2:2" ht="14.25" customHeight="1">
      <c r="B69" s="29"/>
    </row>
    <row r="70" spans="2:2" ht="14.25" customHeight="1">
      <c r="B70" s="29"/>
    </row>
    <row r="71" spans="2:2" ht="14.25" customHeight="1">
      <c r="B71" s="29"/>
    </row>
    <row r="72" spans="2:2" ht="14.25" customHeight="1">
      <c r="B72" s="29"/>
    </row>
    <row r="73" spans="2:2" ht="14.25" customHeight="1">
      <c r="B73" s="29"/>
    </row>
    <row r="74" spans="2:2" ht="14.25" customHeight="1">
      <c r="B74" s="29"/>
    </row>
    <row r="75" spans="2:2" ht="14.25" customHeight="1">
      <c r="B75" s="29"/>
    </row>
    <row r="76" spans="2:2" ht="14.25" customHeight="1">
      <c r="B76" s="29"/>
    </row>
    <row r="77" spans="2:2" ht="14.25" customHeight="1">
      <c r="B77" s="29"/>
    </row>
    <row r="78" spans="2:2" ht="14.25" customHeight="1">
      <c r="B78" s="29"/>
    </row>
    <row r="79" spans="2:2" ht="14.25" customHeight="1">
      <c r="B79" s="29"/>
    </row>
    <row r="80" spans="2:2"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sheetData>
  <mergeCells count="35">
    <mergeCell ref="C2:G2"/>
    <mergeCell ref="C3:G3"/>
    <mergeCell ref="C4:G4"/>
    <mergeCell ref="B5:C5"/>
    <mergeCell ref="M8:O8"/>
    <mergeCell ref="C14:K14"/>
    <mergeCell ref="C15:K15"/>
    <mergeCell ref="C16:K16"/>
    <mergeCell ref="C18:E18"/>
    <mergeCell ref="P8:P9"/>
    <mergeCell ref="D9:I9"/>
    <mergeCell ref="C11:E11"/>
    <mergeCell ref="C12:K12"/>
    <mergeCell ref="C13:K13"/>
    <mergeCell ref="C19:K19"/>
    <mergeCell ref="C20:K20"/>
    <mergeCell ref="C22:E22"/>
    <mergeCell ref="C23:K23"/>
    <mergeCell ref="C24:K24"/>
    <mergeCell ref="C25:K25"/>
    <mergeCell ref="C27:E27"/>
    <mergeCell ref="C28:K28"/>
    <mergeCell ref="C29:K29"/>
    <mergeCell ref="C31:E31"/>
    <mergeCell ref="C32:K32"/>
    <mergeCell ref="C33:K33"/>
    <mergeCell ref="C42:K42"/>
    <mergeCell ref="C43:K43"/>
    <mergeCell ref="C44:K44"/>
    <mergeCell ref="C34:K34"/>
    <mergeCell ref="C35:K35"/>
    <mergeCell ref="C37:E37"/>
    <mergeCell ref="C38:K38"/>
    <mergeCell ref="C39:K39"/>
    <mergeCell ref="C41:E41"/>
  </mergeCells>
  <hyperlinks>
    <hyperlink ref="U2" location="'REQ. USUARIO'!A1" display="Volver" xr:uid="{00000000-0004-0000-05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997"/>
  <sheetViews>
    <sheetView workbookViewId="0">
      <selection activeCell="T2" sqref="T2"/>
    </sheetView>
  </sheetViews>
  <sheetFormatPr baseColWidth="10" defaultColWidth="12.5703125" defaultRowHeight="15" customHeight="1"/>
  <cols>
    <col min="1" max="1" width="10.5703125" customWidth="1"/>
    <col min="2" max="2" width="4.5703125" customWidth="1"/>
    <col min="3" max="7" width="15.7109375" customWidth="1"/>
    <col min="8" max="15" width="10.5703125" customWidth="1"/>
    <col min="16" max="16" width="22.7109375" customWidth="1"/>
    <col min="17" max="26" width="10.5703125" customWidth="1"/>
  </cols>
  <sheetData>
    <row r="1" spans="1:20" ht="14.25" customHeight="1">
      <c r="A1" s="49"/>
      <c r="B1" s="29"/>
    </row>
    <row r="2" spans="1:20" ht="14.25" customHeight="1">
      <c r="B2" s="30" t="s">
        <v>32</v>
      </c>
      <c r="C2" s="126" t="s">
        <v>33</v>
      </c>
      <c r="D2" s="104"/>
      <c r="E2" s="104"/>
      <c r="F2" s="104"/>
      <c r="G2" s="104"/>
      <c r="T2" s="50" t="s">
        <v>13</v>
      </c>
    </row>
    <row r="3" spans="1:20" ht="14.25" customHeight="1">
      <c r="B3" s="30" t="s">
        <v>34</v>
      </c>
      <c r="C3" s="126" t="s">
        <v>35</v>
      </c>
      <c r="D3" s="104"/>
      <c r="E3" s="104"/>
      <c r="F3" s="104"/>
      <c r="G3" s="104"/>
    </row>
    <row r="4" spans="1:20" ht="14.25" customHeight="1">
      <c r="B4" s="30" t="s">
        <v>36</v>
      </c>
      <c r="C4" s="126" t="s">
        <v>37</v>
      </c>
      <c r="D4" s="104"/>
      <c r="E4" s="104"/>
      <c r="F4" s="104"/>
      <c r="G4" s="104"/>
    </row>
    <row r="5" spans="1:20" ht="14.25" customHeight="1">
      <c r="B5" s="127" t="s">
        <v>38</v>
      </c>
      <c r="C5" s="104"/>
      <c r="D5" s="32" t="s">
        <v>39</v>
      </c>
      <c r="E5" s="32"/>
      <c r="F5" s="32"/>
      <c r="G5" s="33"/>
    </row>
    <row r="6" spans="1:20" ht="14.25" customHeight="1">
      <c r="B6" s="29"/>
    </row>
    <row r="7" spans="1:20" ht="14.25" customHeight="1">
      <c r="B7" s="34" t="s">
        <v>40</v>
      </c>
    </row>
    <row r="8" spans="1:20" ht="14.25" customHeight="1">
      <c r="B8" s="29"/>
      <c r="M8" s="128" t="s">
        <v>41</v>
      </c>
      <c r="N8" s="129"/>
      <c r="O8" s="130"/>
      <c r="P8" s="123" t="s">
        <v>42</v>
      </c>
    </row>
    <row r="9" spans="1:20" ht="14.25" customHeight="1">
      <c r="B9" s="35"/>
      <c r="C9" s="36"/>
      <c r="D9" s="125" t="s">
        <v>115</v>
      </c>
      <c r="E9" s="99"/>
      <c r="F9" s="99"/>
      <c r="G9" s="99"/>
      <c r="H9" s="99"/>
      <c r="I9" s="100"/>
      <c r="J9" s="36"/>
      <c r="K9" s="36"/>
      <c r="M9" s="37" t="s">
        <v>32</v>
      </c>
      <c r="N9" s="38" t="s">
        <v>34</v>
      </c>
      <c r="O9" s="38" t="s">
        <v>36</v>
      </c>
      <c r="P9" s="124"/>
    </row>
    <row r="10" spans="1:20" ht="14.25" customHeight="1">
      <c r="B10" s="39"/>
    </row>
    <row r="11" spans="1:20" ht="14.25" customHeight="1">
      <c r="B11" s="40"/>
      <c r="C11" s="45"/>
      <c r="D11" s="45"/>
      <c r="E11" s="36"/>
      <c r="F11" s="36"/>
      <c r="G11" s="36"/>
      <c r="H11" s="36"/>
      <c r="I11" s="36"/>
      <c r="J11" s="36"/>
      <c r="K11" s="36"/>
    </row>
    <row r="12" spans="1:20" ht="14.25" customHeight="1">
      <c r="B12" s="35">
        <v>1</v>
      </c>
      <c r="C12" s="119" t="s">
        <v>116</v>
      </c>
      <c r="D12" s="93"/>
      <c r="E12" s="93"/>
      <c r="F12" s="93"/>
      <c r="G12" s="93"/>
      <c r="H12" s="93"/>
      <c r="I12" s="93"/>
      <c r="J12" s="93"/>
      <c r="K12" s="94"/>
      <c r="L12" s="44"/>
      <c r="M12" s="43" t="s">
        <v>46</v>
      </c>
      <c r="N12" s="43"/>
      <c r="O12" s="51"/>
      <c r="P12" s="52"/>
    </row>
    <row r="13" spans="1:20" ht="14.25" customHeight="1">
      <c r="B13" s="35">
        <v>2</v>
      </c>
      <c r="C13" s="119" t="s">
        <v>117</v>
      </c>
      <c r="D13" s="93"/>
      <c r="E13" s="93"/>
      <c r="F13" s="93"/>
      <c r="G13" s="93"/>
      <c r="H13" s="93"/>
      <c r="I13" s="93"/>
      <c r="J13" s="93"/>
      <c r="K13" s="94"/>
      <c r="L13" s="44"/>
      <c r="M13" s="43" t="s">
        <v>46</v>
      </c>
      <c r="N13" s="43"/>
      <c r="O13" s="51"/>
      <c r="P13" s="52"/>
    </row>
    <row r="14" spans="1:20" ht="14.25" customHeight="1">
      <c r="B14" s="35">
        <v>3</v>
      </c>
      <c r="C14" s="119" t="s">
        <v>118</v>
      </c>
      <c r="D14" s="93"/>
      <c r="E14" s="93"/>
      <c r="F14" s="93"/>
      <c r="G14" s="93"/>
      <c r="H14" s="93"/>
      <c r="I14" s="93"/>
      <c r="J14" s="93"/>
      <c r="K14" s="94"/>
      <c r="L14" s="44"/>
      <c r="M14" s="43" t="s">
        <v>46</v>
      </c>
      <c r="N14" s="43"/>
      <c r="O14" s="51"/>
      <c r="P14" s="52"/>
    </row>
    <row r="15" spans="1:20" ht="14.25" customHeight="1">
      <c r="B15" s="35">
        <v>4</v>
      </c>
      <c r="C15" s="119" t="s">
        <v>119</v>
      </c>
      <c r="D15" s="93"/>
      <c r="E15" s="93"/>
      <c r="F15" s="93"/>
      <c r="G15" s="93"/>
      <c r="H15" s="93"/>
      <c r="I15" s="93"/>
      <c r="J15" s="93"/>
      <c r="K15" s="94"/>
      <c r="L15" s="44"/>
      <c r="M15" s="43" t="s">
        <v>46</v>
      </c>
      <c r="N15" s="43"/>
      <c r="O15" s="51"/>
      <c r="P15" s="52"/>
    </row>
    <row r="16" spans="1:20" ht="14.25" customHeight="1">
      <c r="B16" s="35">
        <v>5</v>
      </c>
      <c r="C16" s="119" t="s">
        <v>120</v>
      </c>
      <c r="D16" s="93"/>
      <c r="E16" s="93"/>
      <c r="F16" s="93"/>
      <c r="G16" s="93"/>
      <c r="H16" s="93"/>
      <c r="I16" s="93"/>
      <c r="J16" s="93"/>
      <c r="K16" s="94"/>
      <c r="L16" s="44"/>
      <c r="M16" s="43" t="s">
        <v>46</v>
      </c>
      <c r="N16" s="43"/>
      <c r="O16" s="51"/>
      <c r="P16" s="52"/>
    </row>
    <row r="17" spans="2:18" ht="14.25" customHeight="1">
      <c r="B17" s="35">
        <v>6</v>
      </c>
      <c r="C17" s="119" t="s">
        <v>121</v>
      </c>
      <c r="D17" s="93"/>
      <c r="E17" s="93"/>
      <c r="F17" s="93"/>
      <c r="G17" s="93"/>
      <c r="H17" s="93"/>
      <c r="I17" s="93"/>
      <c r="J17" s="93"/>
      <c r="K17" s="94"/>
      <c r="L17" s="44"/>
      <c r="M17" s="43" t="s">
        <v>46</v>
      </c>
      <c r="N17" s="43"/>
      <c r="O17" s="51"/>
      <c r="P17" s="52"/>
    </row>
    <row r="18" spans="2:18" ht="14.25" customHeight="1">
      <c r="B18" s="35">
        <v>7</v>
      </c>
      <c r="C18" s="119" t="s">
        <v>668</v>
      </c>
      <c r="D18" s="93"/>
      <c r="E18" s="93"/>
      <c r="F18" s="93"/>
      <c r="G18" s="93"/>
      <c r="H18" s="93"/>
      <c r="I18" s="93"/>
      <c r="J18" s="93"/>
      <c r="K18" s="94"/>
      <c r="L18" s="44"/>
      <c r="M18" s="43" t="s">
        <v>46</v>
      </c>
      <c r="N18" s="43"/>
      <c r="O18" s="51"/>
      <c r="P18" s="52"/>
    </row>
    <row r="19" spans="2:18" ht="14.25" customHeight="1">
      <c r="B19" s="35">
        <v>8</v>
      </c>
      <c r="C19" s="119" t="s">
        <v>122</v>
      </c>
      <c r="D19" s="93"/>
      <c r="E19" s="93"/>
      <c r="F19" s="93"/>
      <c r="G19" s="93"/>
      <c r="H19" s="93"/>
      <c r="I19" s="93"/>
      <c r="J19" s="93"/>
      <c r="K19" s="94"/>
      <c r="L19" s="44"/>
      <c r="M19" s="43" t="s">
        <v>46</v>
      </c>
      <c r="N19" s="43"/>
      <c r="O19" s="51"/>
      <c r="P19" s="52"/>
    </row>
    <row r="20" spans="2:18" ht="14.25" customHeight="1">
      <c r="B20" s="35">
        <v>9</v>
      </c>
      <c r="C20" s="119" t="s">
        <v>123</v>
      </c>
      <c r="D20" s="93"/>
      <c r="E20" s="93"/>
      <c r="F20" s="93"/>
      <c r="G20" s="93"/>
      <c r="H20" s="93"/>
      <c r="I20" s="93"/>
      <c r="J20" s="93"/>
      <c r="K20" s="94"/>
      <c r="L20" s="44"/>
      <c r="M20" s="43" t="s">
        <v>46</v>
      </c>
      <c r="N20" s="43"/>
      <c r="O20" s="51"/>
      <c r="P20" s="52"/>
    </row>
    <row r="21" spans="2:18" ht="14.25" customHeight="1">
      <c r="B21" s="35">
        <v>10</v>
      </c>
      <c r="C21" s="119" t="s">
        <v>124</v>
      </c>
      <c r="D21" s="93"/>
      <c r="E21" s="93"/>
      <c r="F21" s="93"/>
      <c r="G21" s="93"/>
      <c r="H21" s="93"/>
      <c r="I21" s="93"/>
      <c r="J21" s="93"/>
      <c r="K21" s="94"/>
      <c r="L21" s="44"/>
      <c r="M21" s="43" t="s">
        <v>46</v>
      </c>
      <c r="N21" s="43"/>
      <c r="O21" s="51"/>
      <c r="P21" s="52"/>
    </row>
    <row r="22" spans="2:18" ht="14.25" customHeight="1">
      <c r="B22" s="35">
        <v>11</v>
      </c>
      <c r="C22" s="119" t="s">
        <v>125</v>
      </c>
      <c r="D22" s="93"/>
      <c r="E22" s="93"/>
      <c r="F22" s="93"/>
      <c r="G22" s="93"/>
      <c r="H22" s="93"/>
      <c r="I22" s="93"/>
      <c r="J22" s="93"/>
      <c r="K22" s="94"/>
      <c r="L22" s="44"/>
      <c r="M22" s="43" t="s">
        <v>46</v>
      </c>
      <c r="N22" s="43"/>
      <c r="O22" s="51"/>
      <c r="P22" s="52"/>
    </row>
    <row r="23" spans="2:18" ht="14.25" customHeight="1">
      <c r="B23" s="35">
        <v>12</v>
      </c>
      <c r="C23" s="119" t="s">
        <v>126</v>
      </c>
      <c r="D23" s="93"/>
      <c r="E23" s="93"/>
      <c r="F23" s="93"/>
      <c r="G23" s="93"/>
      <c r="H23" s="93"/>
      <c r="I23" s="93"/>
      <c r="J23" s="93"/>
      <c r="K23" s="94"/>
      <c r="L23" s="44"/>
      <c r="M23" s="43" t="s">
        <v>46</v>
      </c>
      <c r="N23" s="43"/>
      <c r="O23" s="51"/>
      <c r="P23" s="52"/>
    </row>
    <row r="24" spans="2:18" ht="14.25" customHeight="1">
      <c r="B24" s="35">
        <v>13</v>
      </c>
      <c r="C24" s="119" t="s">
        <v>127</v>
      </c>
      <c r="D24" s="93"/>
      <c r="E24" s="93"/>
      <c r="F24" s="93"/>
      <c r="G24" s="93"/>
      <c r="H24" s="93"/>
      <c r="I24" s="93"/>
      <c r="J24" s="93"/>
      <c r="K24" s="94"/>
      <c r="L24" s="44"/>
      <c r="M24" s="43" t="s">
        <v>46</v>
      </c>
      <c r="N24" s="43"/>
      <c r="O24" s="51"/>
      <c r="P24" s="52"/>
    </row>
    <row r="25" spans="2:18" ht="14.25" customHeight="1">
      <c r="B25" s="35">
        <v>14</v>
      </c>
      <c r="C25" s="119" t="s">
        <v>128</v>
      </c>
      <c r="D25" s="93"/>
      <c r="E25" s="93"/>
      <c r="F25" s="93"/>
      <c r="G25" s="93"/>
      <c r="H25" s="93"/>
      <c r="I25" s="93"/>
      <c r="J25" s="93"/>
      <c r="K25" s="94"/>
      <c r="L25" s="44"/>
      <c r="M25" s="82" t="s">
        <v>46</v>
      </c>
      <c r="N25" s="43"/>
      <c r="O25" s="51"/>
      <c r="P25" s="52"/>
    </row>
    <row r="26" spans="2:18" ht="14.25" customHeight="1">
      <c r="B26" s="35">
        <v>15</v>
      </c>
      <c r="C26" s="119" t="s">
        <v>129</v>
      </c>
      <c r="D26" s="93"/>
      <c r="E26" s="93"/>
      <c r="F26" s="93"/>
      <c r="G26" s="93"/>
      <c r="H26" s="93"/>
      <c r="I26" s="93"/>
      <c r="J26" s="93"/>
      <c r="K26" s="94"/>
      <c r="L26" s="44"/>
      <c r="M26" s="43" t="s">
        <v>46</v>
      </c>
      <c r="N26" s="43"/>
      <c r="O26" s="51"/>
      <c r="P26" s="52"/>
    </row>
    <row r="27" spans="2:18" ht="14.25" customHeight="1">
      <c r="B27" s="35">
        <v>16</v>
      </c>
      <c r="C27" s="119" t="s">
        <v>130</v>
      </c>
      <c r="D27" s="93"/>
      <c r="E27" s="93"/>
      <c r="F27" s="93"/>
      <c r="G27" s="93"/>
      <c r="H27" s="93"/>
      <c r="I27" s="93"/>
      <c r="J27" s="93"/>
      <c r="K27" s="94"/>
      <c r="L27" s="44"/>
      <c r="M27" s="43" t="s">
        <v>46</v>
      </c>
      <c r="N27" s="43"/>
      <c r="O27" s="51"/>
      <c r="P27" s="52"/>
    </row>
    <row r="28" spans="2:18" ht="14.25" customHeight="1">
      <c r="B28" s="35">
        <v>17</v>
      </c>
      <c r="C28" s="119" t="s">
        <v>131</v>
      </c>
      <c r="D28" s="93"/>
      <c r="E28" s="93"/>
      <c r="F28" s="93"/>
      <c r="G28" s="93"/>
      <c r="H28" s="93"/>
      <c r="I28" s="93"/>
      <c r="J28" s="93"/>
      <c r="K28" s="94"/>
      <c r="L28" s="44"/>
      <c r="M28" s="43"/>
      <c r="N28" s="43" t="s">
        <v>46</v>
      </c>
      <c r="O28" s="51"/>
      <c r="P28" s="52"/>
    </row>
    <row r="29" spans="2:18" ht="14.25" customHeight="1">
      <c r="B29" s="35">
        <v>18</v>
      </c>
      <c r="C29" s="119" t="s">
        <v>132</v>
      </c>
      <c r="D29" s="93"/>
      <c r="E29" s="93"/>
      <c r="F29" s="93"/>
      <c r="G29" s="93"/>
      <c r="H29" s="93"/>
      <c r="I29" s="93"/>
      <c r="J29" s="93"/>
      <c r="K29" s="94"/>
      <c r="L29" s="44"/>
      <c r="M29" s="43" t="s">
        <v>46</v>
      </c>
      <c r="N29" s="43"/>
      <c r="O29" s="51"/>
      <c r="P29" s="52"/>
    </row>
    <row r="30" spans="2:18" ht="14.25" customHeight="1">
      <c r="B30" s="35">
        <v>20</v>
      </c>
      <c r="C30" s="119" t="s">
        <v>133</v>
      </c>
      <c r="D30" s="93"/>
      <c r="E30" s="93"/>
      <c r="F30" s="93"/>
      <c r="G30" s="93"/>
      <c r="H30" s="93"/>
      <c r="I30" s="93"/>
      <c r="J30" s="93"/>
      <c r="K30" s="94"/>
      <c r="L30" s="44"/>
      <c r="M30" s="43" t="s">
        <v>46</v>
      </c>
      <c r="N30" s="43"/>
      <c r="O30" s="51"/>
      <c r="P30" s="52"/>
    </row>
    <row r="31" spans="2:18" ht="14.25" customHeight="1">
      <c r="B31" s="35">
        <v>21</v>
      </c>
      <c r="C31" s="119" t="s">
        <v>134</v>
      </c>
      <c r="D31" s="93"/>
      <c r="E31" s="93"/>
      <c r="F31" s="93"/>
      <c r="G31" s="93"/>
      <c r="H31" s="93"/>
      <c r="I31" s="93"/>
      <c r="J31" s="93"/>
      <c r="K31" s="94"/>
      <c r="L31" s="44"/>
      <c r="M31" s="43"/>
      <c r="N31" s="43" t="s">
        <v>46</v>
      </c>
      <c r="O31" s="51"/>
      <c r="P31" s="52"/>
    </row>
    <row r="32" spans="2:18" ht="14.25" customHeight="1">
      <c r="B32" s="35">
        <v>22</v>
      </c>
      <c r="C32" s="119" t="s">
        <v>135</v>
      </c>
      <c r="D32" s="93"/>
      <c r="E32" s="93"/>
      <c r="F32" s="93"/>
      <c r="G32" s="93"/>
      <c r="H32" s="93"/>
      <c r="I32" s="93"/>
      <c r="J32" s="93"/>
      <c r="K32" s="94"/>
      <c r="L32" s="44"/>
      <c r="M32" s="43"/>
      <c r="N32" s="43" t="s">
        <v>46</v>
      </c>
      <c r="O32" s="51"/>
      <c r="P32" s="52"/>
      <c r="R32" s="47" t="s">
        <v>136</v>
      </c>
    </row>
    <row r="33" spans="2:16" ht="14.25" customHeight="1">
      <c r="B33" s="35">
        <v>23</v>
      </c>
      <c r="C33" s="119" t="s">
        <v>137</v>
      </c>
      <c r="D33" s="93"/>
      <c r="E33" s="93"/>
      <c r="F33" s="93"/>
      <c r="G33" s="93"/>
      <c r="H33" s="93"/>
      <c r="I33" s="93"/>
      <c r="J33" s="93"/>
      <c r="K33" s="94"/>
      <c r="L33" s="44"/>
      <c r="M33" s="43" t="s">
        <v>46</v>
      </c>
      <c r="N33" s="43"/>
      <c r="O33" s="51"/>
      <c r="P33" s="52"/>
    </row>
    <row r="34" spans="2:16" ht="14.25" customHeight="1">
      <c r="B34" s="35">
        <v>24</v>
      </c>
      <c r="C34" s="119" t="s">
        <v>138</v>
      </c>
      <c r="D34" s="93"/>
      <c r="E34" s="93"/>
      <c r="F34" s="93"/>
      <c r="G34" s="93"/>
      <c r="H34" s="93"/>
      <c r="I34" s="93"/>
      <c r="J34" s="93"/>
      <c r="K34" s="94"/>
      <c r="L34" s="44"/>
      <c r="M34" s="43"/>
      <c r="N34" s="43" t="s">
        <v>46</v>
      </c>
      <c r="O34" s="51"/>
      <c r="P34" s="52"/>
    </row>
    <row r="35" spans="2:16" ht="14.25" customHeight="1">
      <c r="B35" s="35">
        <v>26</v>
      </c>
      <c r="C35" s="119" t="s">
        <v>139</v>
      </c>
      <c r="D35" s="93"/>
      <c r="E35" s="93"/>
      <c r="F35" s="93"/>
      <c r="G35" s="93"/>
      <c r="H35" s="93"/>
      <c r="I35" s="93"/>
      <c r="J35" s="93"/>
      <c r="K35" s="94"/>
      <c r="L35" s="44"/>
      <c r="M35" s="43"/>
      <c r="N35" s="43" t="s">
        <v>46</v>
      </c>
      <c r="O35" s="51"/>
      <c r="P35" s="52"/>
    </row>
    <row r="36" spans="2:16" ht="14.25" customHeight="1">
      <c r="B36" s="35">
        <v>27</v>
      </c>
      <c r="C36" s="119" t="s">
        <v>140</v>
      </c>
      <c r="D36" s="93"/>
      <c r="E36" s="93"/>
      <c r="F36" s="93"/>
      <c r="G36" s="93"/>
      <c r="H36" s="93"/>
      <c r="I36" s="93"/>
      <c r="J36" s="93"/>
      <c r="K36" s="94"/>
      <c r="L36" s="44"/>
      <c r="M36" s="43" t="s">
        <v>46</v>
      </c>
      <c r="N36" s="43"/>
      <c r="O36" s="51"/>
      <c r="P36" s="52"/>
    </row>
    <row r="37" spans="2:16" ht="14.25" customHeight="1">
      <c r="B37" s="35">
        <v>28</v>
      </c>
      <c r="C37" s="119" t="s">
        <v>141</v>
      </c>
      <c r="D37" s="93"/>
      <c r="E37" s="93"/>
      <c r="F37" s="93"/>
      <c r="G37" s="93"/>
      <c r="H37" s="93"/>
      <c r="I37" s="93"/>
      <c r="J37" s="93"/>
      <c r="K37" s="94"/>
      <c r="L37" s="44"/>
      <c r="M37" s="43"/>
      <c r="N37" s="43" t="s">
        <v>46</v>
      </c>
      <c r="O37" s="51"/>
      <c r="P37" s="52"/>
    </row>
    <row r="38" spans="2:16" ht="14.25" customHeight="1">
      <c r="B38" s="35">
        <v>29</v>
      </c>
      <c r="C38" s="119" t="s">
        <v>142</v>
      </c>
      <c r="D38" s="93"/>
      <c r="E38" s="93"/>
      <c r="F38" s="93"/>
      <c r="G38" s="93"/>
      <c r="H38" s="93"/>
      <c r="I38" s="93"/>
      <c r="J38" s="93"/>
      <c r="K38" s="94"/>
      <c r="L38" s="44"/>
      <c r="M38" s="43"/>
      <c r="N38" s="43" t="s">
        <v>46</v>
      </c>
      <c r="O38" s="51"/>
      <c r="P38" s="52"/>
    </row>
    <row r="39" spans="2:16" ht="14.25" customHeight="1">
      <c r="B39" s="35">
        <v>30</v>
      </c>
      <c r="C39" s="119" t="s">
        <v>143</v>
      </c>
      <c r="D39" s="93"/>
      <c r="E39" s="93"/>
      <c r="F39" s="93"/>
      <c r="G39" s="93"/>
      <c r="H39" s="93"/>
      <c r="I39" s="93"/>
      <c r="J39" s="93"/>
      <c r="K39" s="94"/>
      <c r="L39" s="44"/>
      <c r="M39" s="43" t="s">
        <v>46</v>
      </c>
      <c r="N39" s="43"/>
      <c r="O39" s="51"/>
      <c r="P39" s="52"/>
    </row>
    <row r="40" spans="2:16" ht="14.25" customHeight="1">
      <c r="B40" s="29"/>
    </row>
    <row r="41" spans="2:16" ht="14.25" customHeight="1">
      <c r="B41" s="29"/>
    </row>
    <row r="42" spans="2:16" ht="14.25" customHeight="1">
      <c r="B42" s="29"/>
    </row>
    <row r="43" spans="2:16" ht="14.25" customHeight="1">
      <c r="B43" s="29"/>
    </row>
    <row r="44" spans="2:16" ht="14.25" customHeight="1">
      <c r="B44" s="29"/>
    </row>
    <row r="45" spans="2:16" ht="14.25" customHeight="1">
      <c r="B45" s="29"/>
    </row>
    <row r="46" spans="2:16" ht="14.25" customHeight="1">
      <c r="B46" s="29"/>
    </row>
    <row r="47" spans="2:16" ht="14.25" customHeight="1">
      <c r="B47" s="29"/>
    </row>
    <row r="48" spans="2:16" ht="14.25" customHeight="1">
      <c r="B48" s="29"/>
    </row>
    <row r="49" spans="2:2" ht="14.25" customHeight="1">
      <c r="B49" s="29"/>
    </row>
    <row r="50" spans="2:2" ht="14.25" customHeight="1">
      <c r="B50" s="29"/>
    </row>
    <row r="51" spans="2:2" ht="14.25" customHeight="1">
      <c r="B51" s="29"/>
    </row>
    <row r="52" spans="2:2" ht="14.25" customHeight="1">
      <c r="B52" s="29"/>
    </row>
    <row r="53" spans="2:2" ht="14.25" customHeight="1">
      <c r="B53" s="29"/>
    </row>
    <row r="54" spans="2:2" ht="14.25" customHeight="1">
      <c r="B54" s="29"/>
    </row>
    <row r="55" spans="2:2" ht="14.25" customHeight="1">
      <c r="B55" s="29"/>
    </row>
    <row r="56" spans="2:2" ht="14.25" customHeight="1">
      <c r="B56" s="29"/>
    </row>
    <row r="57" spans="2:2" ht="14.25" customHeight="1">
      <c r="B57" s="29"/>
    </row>
    <row r="58" spans="2:2" ht="14.25" customHeight="1">
      <c r="B58" s="29"/>
    </row>
    <row r="59" spans="2:2" ht="14.25" customHeight="1">
      <c r="B59" s="29"/>
    </row>
    <row r="60" spans="2:2" ht="14.25" customHeight="1">
      <c r="B60" s="29"/>
    </row>
    <row r="61" spans="2:2" ht="14.25" customHeight="1">
      <c r="B61" s="29"/>
    </row>
    <row r="62" spans="2:2" ht="14.25" customHeight="1">
      <c r="B62" s="29"/>
    </row>
    <row r="63" spans="2:2" ht="14.25" customHeight="1">
      <c r="B63" s="29"/>
    </row>
    <row r="64" spans="2:2" ht="14.25" customHeight="1">
      <c r="B64" s="29"/>
    </row>
    <row r="65" spans="2:2" ht="14.25" customHeight="1">
      <c r="B65" s="29"/>
    </row>
    <row r="66" spans="2:2" ht="14.25" customHeight="1">
      <c r="B66" s="29"/>
    </row>
    <row r="67" spans="2:2" ht="14.25" customHeight="1">
      <c r="B67" s="29"/>
    </row>
    <row r="68" spans="2:2" ht="14.25" customHeight="1">
      <c r="B68" s="29"/>
    </row>
    <row r="69" spans="2:2" ht="14.25" customHeight="1">
      <c r="B69" s="29"/>
    </row>
    <row r="70" spans="2:2" ht="14.25" customHeight="1">
      <c r="B70" s="29"/>
    </row>
    <row r="71" spans="2:2" ht="14.25" customHeight="1">
      <c r="B71" s="29"/>
    </row>
    <row r="72" spans="2:2" ht="14.25" customHeight="1">
      <c r="B72" s="29"/>
    </row>
    <row r="73" spans="2:2" ht="14.25" customHeight="1">
      <c r="B73" s="29"/>
    </row>
    <row r="74" spans="2:2" ht="14.25" customHeight="1">
      <c r="B74" s="29"/>
    </row>
    <row r="75" spans="2:2" ht="14.25" customHeight="1">
      <c r="B75" s="29"/>
    </row>
    <row r="76" spans="2:2" ht="14.25" customHeight="1">
      <c r="B76" s="29"/>
    </row>
    <row r="77" spans="2:2" ht="14.25" customHeight="1">
      <c r="B77" s="29"/>
    </row>
    <row r="78" spans="2:2" ht="14.25" customHeight="1">
      <c r="B78" s="29"/>
    </row>
    <row r="79" spans="2:2" ht="14.25" customHeight="1">
      <c r="B79" s="29"/>
    </row>
    <row r="80" spans="2:2"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sheetData>
  <mergeCells count="35">
    <mergeCell ref="C2:G2"/>
    <mergeCell ref="C3:G3"/>
    <mergeCell ref="C4:G4"/>
    <mergeCell ref="B5:C5"/>
    <mergeCell ref="M8:O8"/>
    <mergeCell ref="P8:P9"/>
    <mergeCell ref="D9:I9"/>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8:K38"/>
    <mergeCell ref="C39:K39"/>
    <mergeCell ref="C32:K32"/>
    <mergeCell ref="C33:K33"/>
    <mergeCell ref="C34:K34"/>
    <mergeCell ref="C35:K35"/>
    <mergeCell ref="C36:K36"/>
    <mergeCell ref="C37:K37"/>
  </mergeCells>
  <hyperlinks>
    <hyperlink ref="T2" location="'REQ. FUN. GEN'!A1" display="Volver" xr:uid="{00000000-0004-0000-0600-000000000000}"/>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7"/>
  <sheetViews>
    <sheetView topLeftCell="A10" workbookViewId="0">
      <selection activeCell="N39" sqref="N39"/>
    </sheetView>
  </sheetViews>
  <sheetFormatPr baseColWidth="10" defaultColWidth="12.5703125" defaultRowHeight="15" customHeight="1"/>
  <cols>
    <col min="1" max="1" width="10.5703125" customWidth="1"/>
    <col min="2" max="2" width="4.5703125" customWidth="1"/>
    <col min="3" max="3" width="11.42578125" customWidth="1"/>
    <col min="4" max="8" width="10.5703125" customWidth="1"/>
    <col min="9" max="9" width="15.7109375" customWidth="1"/>
    <col min="10" max="15" width="10.5703125" customWidth="1"/>
    <col min="16" max="16" width="22.7109375" customWidth="1"/>
    <col min="17" max="26" width="10.5703125" customWidth="1"/>
  </cols>
  <sheetData>
    <row r="1" spans="1:22" ht="14.25" customHeight="1">
      <c r="A1" s="49"/>
      <c r="B1" s="29"/>
    </row>
    <row r="2" spans="1:22" ht="14.25" customHeight="1">
      <c r="B2" s="30" t="s">
        <v>32</v>
      </c>
      <c r="C2" s="126" t="s">
        <v>33</v>
      </c>
      <c r="D2" s="104"/>
      <c r="E2" s="104"/>
      <c r="F2" s="104"/>
      <c r="G2" s="104"/>
      <c r="V2" s="50" t="s">
        <v>13</v>
      </c>
    </row>
    <row r="3" spans="1:22" ht="14.25" customHeight="1">
      <c r="B3" s="30" t="s">
        <v>34</v>
      </c>
      <c r="C3" s="126" t="s">
        <v>35</v>
      </c>
      <c r="D3" s="104"/>
      <c r="E3" s="104"/>
      <c r="F3" s="104"/>
      <c r="G3" s="104"/>
    </row>
    <row r="4" spans="1:22" ht="14.25" customHeight="1">
      <c r="B4" s="30" t="s">
        <v>36</v>
      </c>
      <c r="C4" s="126" t="s">
        <v>37</v>
      </c>
      <c r="D4" s="104"/>
      <c r="E4" s="104"/>
      <c r="F4" s="104"/>
      <c r="G4" s="104"/>
    </row>
    <row r="5" spans="1:22" ht="14.25" customHeight="1">
      <c r="B5" s="127" t="s">
        <v>38</v>
      </c>
      <c r="C5" s="104"/>
      <c r="D5" s="32" t="s">
        <v>39</v>
      </c>
      <c r="E5" s="32"/>
      <c r="F5" s="32"/>
      <c r="G5" s="33"/>
    </row>
    <row r="6" spans="1:22" ht="14.25" customHeight="1">
      <c r="B6" s="29"/>
    </row>
    <row r="7" spans="1:22" ht="14.25" customHeight="1">
      <c r="B7" s="34" t="s">
        <v>40</v>
      </c>
    </row>
    <row r="8" spans="1:22" ht="14.25" customHeight="1">
      <c r="B8" s="29"/>
      <c r="M8" s="128" t="s">
        <v>41</v>
      </c>
      <c r="N8" s="129"/>
      <c r="O8" s="130"/>
      <c r="P8" s="123" t="s">
        <v>42</v>
      </c>
    </row>
    <row r="9" spans="1:22" ht="14.25" customHeight="1">
      <c r="B9" s="35"/>
      <c r="C9" s="36"/>
      <c r="D9" s="125" t="s">
        <v>144</v>
      </c>
      <c r="E9" s="99"/>
      <c r="F9" s="99"/>
      <c r="G9" s="99"/>
      <c r="H9" s="99"/>
      <c r="I9" s="100"/>
      <c r="J9" s="36"/>
      <c r="K9" s="36"/>
      <c r="M9" s="37" t="s">
        <v>32</v>
      </c>
      <c r="N9" s="38" t="s">
        <v>34</v>
      </c>
      <c r="O9" s="38" t="s">
        <v>36</v>
      </c>
      <c r="P9" s="124"/>
    </row>
    <row r="10" spans="1:22" ht="14.25" customHeight="1">
      <c r="B10" s="39"/>
    </row>
    <row r="11" spans="1:22" ht="14.25" customHeight="1">
      <c r="B11" s="40"/>
      <c r="C11" s="45"/>
      <c r="D11" s="45"/>
      <c r="E11" s="36"/>
      <c r="F11" s="36"/>
      <c r="G11" s="36"/>
      <c r="H11" s="36"/>
      <c r="I11" s="36"/>
      <c r="J11" s="36"/>
      <c r="K11" s="36"/>
    </row>
    <row r="12" spans="1:22" ht="14.25" customHeight="1">
      <c r="B12" s="41">
        <v>1</v>
      </c>
      <c r="C12" s="117" t="s">
        <v>145</v>
      </c>
      <c r="D12" s="93"/>
      <c r="E12" s="93"/>
      <c r="F12" s="93"/>
      <c r="G12" s="93"/>
      <c r="H12" s="93"/>
      <c r="I12" s="93"/>
      <c r="J12" s="93"/>
      <c r="K12" s="94"/>
      <c r="L12" s="42"/>
      <c r="M12" s="43" t="s">
        <v>46</v>
      </c>
      <c r="N12" s="43"/>
      <c r="O12" s="51"/>
      <c r="P12" s="52"/>
      <c r="R12" s="53" t="s">
        <v>146</v>
      </c>
    </row>
    <row r="13" spans="1:22" ht="14.25" customHeight="1">
      <c r="B13" s="35">
        <v>2</v>
      </c>
      <c r="C13" s="119" t="s">
        <v>147</v>
      </c>
      <c r="D13" s="93"/>
      <c r="E13" s="93"/>
      <c r="F13" s="93"/>
      <c r="G13" s="93"/>
      <c r="H13" s="93"/>
      <c r="I13" s="93"/>
      <c r="J13" s="93"/>
      <c r="K13" s="94"/>
      <c r="L13" s="44"/>
      <c r="M13" s="43" t="s">
        <v>46</v>
      </c>
      <c r="N13" s="43"/>
      <c r="O13" s="51"/>
      <c r="P13" s="52"/>
      <c r="R13" s="47" t="s">
        <v>148</v>
      </c>
    </row>
    <row r="14" spans="1:22" ht="14.25" customHeight="1">
      <c r="B14" s="35">
        <v>3</v>
      </c>
      <c r="C14" s="119" t="s">
        <v>149</v>
      </c>
      <c r="D14" s="93"/>
      <c r="E14" s="93"/>
      <c r="F14" s="93"/>
      <c r="G14" s="93"/>
      <c r="H14" s="93"/>
      <c r="I14" s="93"/>
      <c r="J14" s="93"/>
      <c r="K14" s="94"/>
      <c r="L14" s="44"/>
      <c r="M14" s="43" t="s">
        <v>46</v>
      </c>
      <c r="N14" s="43"/>
      <c r="O14" s="51"/>
      <c r="P14" s="52"/>
      <c r="R14" s="47" t="s">
        <v>150</v>
      </c>
    </row>
    <row r="15" spans="1:22" ht="14.25" customHeight="1">
      <c r="B15" s="41">
        <v>4</v>
      </c>
      <c r="C15" s="119" t="s">
        <v>151</v>
      </c>
      <c r="D15" s="93"/>
      <c r="E15" s="93"/>
      <c r="F15" s="93"/>
      <c r="G15" s="93"/>
      <c r="H15" s="93"/>
      <c r="I15" s="93"/>
      <c r="J15" s="93"/>
      <c r="K15" s="94"/>
      <c r="L15" s="44"/>
      <c r="M15" s="43" t="s">
        <v>46</v>
      </c>
      <c r="N15" s="43"/>
      <c r="O15" s="51"/>
      <c r="P15" s="52"/>
    </row>
    <row r="16" spans="1:22" ht="14.25" customHeight="1">
      <c r="B16" s="35">
        <v>5</v>
      </c>
      <c r="C16" s="119" t="s">
        <v>152</v>
      </c>
      <c r="D16" s="93"/>
      <c r="E16" s="93"/>
      <c r="F16" s="93"/>
      <c r="G16" s="93"/>
      <c r="H16" s="93"/>
      <c r="I16" s="93"/>
      <c r="J16" s="93"/>
      <c r="K16" s="94"/>
      <c r="L16" s="44"/>
      <c r="M16" s="43" t="s">
        <v>46</v>
      </c>
      <c r="N16" s="43"/>
      <c r="O16" s="51"/>
      <c r="P16" s="52"/>
    </row>
    <row r="17" spans="2:18" ht="14.25" customHeight="1">
      <c r="B17" s="35">
        <v>6</v>
      </c>
      <c r="C17" s="119" t="s">
        <v>153</v>
      </c>
      <c r="D17" s="93"/>
      <c r="E17" s="93"/>
      <c r="F17" s="93"/>
      <c r="G17" s="93"/>
      <c r="H17" s="93"/>
      <c r="I17" s="93"/>
      <c r="J17" s="93"/>
      <c r="K17" s="94"/>
      <c r="L17" s="44"/>
      <c r="M17" s="43" t="s">
        <v>46</v>
      </c>
      <c r="N17" s="43"/>
      <c r="O17" s="51"/>
      <c r="P17" s="52"/>
    </row>
    <row r="18" spans="2:18" ht="14.25" customHeight="1">
      <c r="B18" s="41">
        <v>7</v>
      </c>
      <c r="C18" s="119" t="s">
        <v>154</v>
      </c>
      <c r="D18" s="93"/>
      <c r="E18" s="93"/>
      <c r="F18" s="93"/>
      <c r="G18" s="93"/>
      <c r="H18" s="93"/>
      <c r="I18" s="93"/>
      <c r="J18" s="93"/>
      <c r="K18" s="94"/>
      <c r="L18" s="44"/>
      <c r="M18" s="43" t="s">
        <v>46</v>
      </c>
      <c r="N18" s="43"/>
      <c r="O18" s="51"/>
      <c r="P18" s="52"/>
    </row>
    <row r="19" spans="2:18" ht="14.25" customHeight="1">
      <c r="B19" s="35">
        <v>8</v>
      </c>
      <c r="C19" s="119" t="s">
        <v>155</v>
      </c>
      <c r="D19" s="93"/>
      <c r="E19" s="93"/>
      <c r="F19" s="93"/>
      <c r="G19" s="93"/>
      <c r="H19" s="93"/>
      <c r="I19" s="93"/>
      <c r="J19" s="93"/>
      <c r="K19" s="94"/>
      <c r="L19" s="44"/>
      <c r="M19" s="43" t="s">
        <v>46</v>
      </c>
      <c r="N19" s="43"/>
      <c r="O19" s="51"/>
      <c r="P19" s="52"/>
    </row>
    <row r="20" spans="2:18" ht="14.25" customHeight="1">
      <c r="B20" s="35">
        <v>9</v>
      </c>
      <c r="C20" s="119" t="s">
        <v>156</v>
      </c>
      <c r="D20" s="93"/>
      <c r="E20" s="93"/>
      <c r="F20" s="93"/>
      <c r="G20" s="93"/>
      <c r="H20" s="93"/>
      <c r="I20" s="93"/>
      <c r="J20" s="93"/>
      <c r="K20" s="94"/>
      <c r="L20" s="44"/>
      <c r="M20" s="43" t="s">
        <v>46</v>
      </c>
      <c r="N20" s="43"/>
      <c r="O20" s="51"/>
      <c r="P20" s="52"/>
    </row>
    <row r="21" spans="2:18" ht="14.25" customHeight="1">
      <c r="B21" s="41">
        <v>10</v>
      </c>
      <c r="C21" s="119" t="s">
        <v>157</v>
      </c>
      <c r="D21" s="93"/>
      <c r="E21" s="93"/>
      <c r="F21" s="93"/>
      <c r="G21" s="93"/>
      <c r="H21" s="93"/>
      <c r="I21" s="93"/>
      <c r="J21" s="93"/>
      <c r="K21" s="94"/>
      <c r="L21" s="44"/>
      <c r="M21" s="43" t="s">
        <v>46</v>
      </c>
      <c r="N21" s="43"/>
      <c r="O21" s="51"/>
      <c r="P21" s="52"/>
    </row>
    <row r="22" spans="2:18" ht="14.25" customHeight="1">
      <c r="B22" s="35">
        <v>11</v>
      </c>
      <c r="C22" s="119" t="s">
        <v>158</v>
      </c>
      <c r="D22" s="93"/>
      <c r="E22" s="93"/>
      <c r="F22" s="93"/>
      <c r="G22" s="93"/>
      <c r="H22" s="93"/>
      <c r="I22" s="93"/>
      <c r="J22" s="93"/>
      <c r="K22" s="94"/>
      <c r="L22" s="44"/>
      <c r="M22" s="43" t="s">
        <v>46</v>
      </c>
      <c r="N22" s="43"/>
      <c r="O22" s="51"/>
      <c r="P22" s="52"/>
    </row>
    <row r="23" spans="2:18" ht="14.25" customHeight="1">
      <c r="B23" s="35">
        <v>12</v>
      </c>
      <c r="C23" s="119" t="s">
        <v>159</v>
      </c>
      <c r="D23" s="93"/>
      <c r="E23" s="93"/>
      <c r="F23" s="93"/>
      <c r="G23" s="93"/>
      <c r="H23" s="93"/>
      <c r="I23" s="93"/>
      <c r="J23" s="93"/>
      <c r="K23" s="94"/>
      <c r="L23" s="44"/>
      <c r="M23" s="43" t="s">
        <v>46</v>
      </c>
      <c r="N23" s="43"/>
      <c r="O23" s="51"/>
      <c r="P23" s="52"/>
    </row>
    <row r="24" spans="2:18" ht="14.25" customHeight="1">
      <c r="B24" s="41">
        <v>13</v>
      </c>
      <c r="C24" s="119" t="s">
        <v>160</v>
      </c>
      <c r="D24" s="93"/>
      <c r="E24" s="93"/>
      <c r="F24" s="93"/>
      <c r="G24" s="93"/>
      <c r="H24" s="93"/>
      <c r="I24" s="93"/>
      <c r="J24" s="93"/>
      <c r="K24" s="94"/>
      <c r="L24" s="44"/>
      <c r="M24" s="43" t="s">
        <v>46</v>
      </c>
      <c r="N24" s="43"/>
      <c r="O24" s="51"/>
      <c r="P24" s="52"/>
      <c r="R24" s="47" t="s">
        <v>161</v>
      </c>
    </row>
    <row r="25" spans="2:18" ht="14.25" customHeight="1">
      <c r="B25" s="35">
        <v>14</v>
      </c>
      <c r="C25" s="119" t="s">
        <v>162</v>
      </c>
      <c r="D25" s="93"/>
      <c r="E25" s="93"/>
      <c r="F25" s="93"/>
      <c r="G25" s="93"/>
      <c r="H25" s="93"/>
      <c r="I25" s="93"/>
      <c r="J25" s="93"/>
      <c r="K25" s="94"/>
      <c r="L25" s="44"/>
      <c r="M25" s="43" t="s">
        <v>46</v>
      </c>
      <c r="N25" s="43"/>
      <c r="O25" s="51"/>
      <c r="P25" s="52"/>
    </row>
    <row r="26" spans="2:18" ht="14.25" customHeight="1">
      <c r="B26" s="35">
        <v>15</v>
      </c>
      <c r="C26" s="119" t="s">
        <v>163</v>
      </c>
      <c r="D26" s="93"/>
      <c r="E26" s="93"/>
      <c r="F26" s="93"/>
      <c r="G26" s="93"/>
      <c r="H26" s="93"/>
      <c r="I26" s="93"/>
      <c r="J26" s="93"/>
      <c r="K26" s="94"/>
      <c r="L26" s="44"/>
      <c r="M26" s="43"/>
      <c r="N26" s="43" t="s">
        <v>46</v>
      </c>
      <c r="O26" s="51"/>
      <c r="P26" s="52"/>
    </row>
    <row r="27" spans="2:18" ht="14.25" customHeight="1">
      <c r="B27" s="41">
        <v>16</v>
      </c>
      <c r="C27" s="119" t="s">
        <v>164</v>
      </c>
      <c r="D27" s="93"/>
      <c r="E27" s="93"/>
      <c r="F27" s="93"/>
      <c r="G27" s="93"/>
      <c r="H27" s="93"/>
      <c r="I27" s="93"/>
      <c r="J27" s="93"/>
      <c r="K27" s="94"/>
      <c r="L27" s="44"/>
      <c r="M27" s="43" t="s">
        <v>46</v>
      </c>
      <c r="N27" s="43"/>
      <c r="O27" s="51"/>
      <c r="P27" s="52"/>
    </row>
    <row r="28" spans="2:18" ht="14.25" customHeight="1">
      <c r="B28" s="35">
        <v>17</v>
      </c>
      <c r="C28" s="119" t="s">
        <v>165</v>
      </c>
      <c r="D28" s="93"/>
      <c r="E28" s="93"/>
      <c r="F28" s="93"/>
      <c r="G28" s="93"/>
      <c r="H28" s="93"/>
      <c r="I28" s="93"/>
      <c r="J28" s="93"/>
      <c r="K28" s="94"/>
      <c r="L28" s="44"/>
      <c r="M28" s="43" t="s">
        <v>46</v>
      </c>
      <c r="N28" s="43"/>
      <c r="O28" s="51"/>
      <c r="P28" s="52"/>
    </row>
    <row r="29" spans="2:18" ht="14.25" customHeight="1">
      <c r="B29" s="35">
        <v>18</v>
      </c>
      <c r="C29" s="119" t="s">
        <v>166</v>
      </c>
      <c r="D29" s="93"/>
      <c r="E29" s="93"/>
      <c r="F29" s="93"/>
      <c r="G29" s="93"/>
      <c r="H29" s="93"/>
      <c r="I29" s="93"/>
      <c r="J29" s="93"/>
      <c r="K29" s="94"/>
      <c r="L29" s="44"/>
      <c r="M29" s="43" t="s">
        <v>46</v>
      </c>
      <c r="N29" s="43"/>
      <c r="O29" s="51"/>
      <c r="P29" s="52"/>
    </row>
    <row r="30" spans="2:18" ht="14.25" customHeight="1">
      <c r="B30" s="41">
        <v>19</v>
      </c>
      <c r="C30" s="119" t="s">
        <v>167</v>
      </c>
      <c r="D30" s="93"/>
      <c r="E30" s="93"/>
      <c r="F30" s="93"/>
      <c r="G30" s="93"/>
      <c r="H30" s="93"/>
      <c r="I30" s="93"/>
      <c r="J30" s="93"/>
      <c r="K30" s="94"/>
      <c r="L30" s="44"/>
      <c r="M30" s="43" t="s">
        <v>46</v>
      </c>
      <c r="N30" s="43"/>
      <c r="O30" s="51"/>
      <c r="P30" s="52"/>
      <c r="R30" s="47" t="s">
        <v>168</v>
      </c>
    </row>
    <row r="31" spans="2:18" ht="14.25" customHeight="1">
      <c r="B31" s="35">
        <v>20</v>
      </c>
      <c r="C31" s="119" t="s">
        <v>169</v>
      </c>
      <c r="D31" s="93"/>
      <c r="E31" s="93"/>
      <c r="F31" s="93"/>
      <c r="G31" s="93"/>
      <c r="H31" s="93"/>
      <c r="I31" s="93"/>
      <c r="J31" s="93"/>
      <c r="K31" s="94"/>
      <c r="L31" s="44"/>
      <c r="M31" s="43" t="s">
        <v>46</v>
      </c>
      <c r="N31" s="43"/>
      <c r="O31" s="51"/>
      <c r="P31" s="52"/>
    </row>
    <row r="32" spans="2:18" ht="14.25" customHeight="1">
      <c r="B32" s="35">
        <v>21</v>
      </c>
      <c r="C32" s="119" t="s">
        <v>170</v>
      </c>
      <c r="D32" s="93"/>
      <c r="E32" s="93"/>
      <c r="F32" s="93"/>
      <c r="G32" s="93"/>
      <c r="H32" s="93"/>
      <c r="I32" s="93"/>
      <c r="J32" s="93"/>
      <c r="K32" s="94"/>
      <c r="L32" s="44"/>
      <c r="M32" s="43" t="s">
        <v>46</v>
      </c>
      <c r="N32" s="43"/>
      <c r="O32" s="51"/>
      <c r="P32" s="52"/>
    </row>
    <row r="33" spans="2:26" ht="14.25" customHeight="1">
      <c r="B33" s="41">
        <v>22</v>
      </c>
      <c r="C33" s="119" t="s">
        <v>171</v>
      </c>
      <c r="D33" s="93"/>
      <c r="E33" s="93"/>
      <c r="F33" s="93"/>
      <c r="G33" s="93"/>
      <c r="H33" s="93"/>
      <c r="I33" s="93"/>
      <c r="J33" s="93"/>
      <c r="K33" s="94"/>
      <c r="L33" s="44"/>
      <c r="M33" s="43" t="s">
        <v>46</v>
      </c>
      <c r="N33" s="43"/>
      <c r="O33" s="51"/>
      <c r="P33" s="52"/>
    </row>
    <row r="34" spans="2:26" ht="14.25" customHeight="1">
      <c r="B34" s="35">
        <v>23</v>
      </c>
      <c r="C34" s="119" t="s">
        <v>172</v>
      </c>
      <c r="D34" s="93"/>
      <c r="E34" s="93"/>
      <c r="F34" s="93"/>
      <c r="G34" s="93"/>
      <c r="H34" s="93"/>
      <c r="I34" s="93"/>
      <c r="J34" s="93"/>
      <c r="K34" s="94"/>
      <c r="L34" s="44"/>
      <c r="M34" s="43" t="s">
        <v>46</v>
      </c>
      <c r="N34" s="43"/>
      <c r="O34" s="51"/>
      <c r="P34" s="52"/>
    </row>
    <row r="35" spans="2:26" ht="14.25" customHeight="1">
      <c r="B35" s="35">
        <v>24</v>
      </c>
      <c r="C35" s="119" t="s">
        <v>173</v>
      </c>
      <c r="D35" s="93"/>
      <c r="E35" s="93"/>
      <c r="F35" s="93"/>
      <c r="G35" s="93"/>
      <c r="H35" s="93"/>
      <c r="I35" s="93"/>
      <c r="J35" s="93"/>
      <c r="K35" s="94"/>
      <c r="L35" s="44"/>
      <c r="M35" s="43" t="s">
        <v>46</v>
      </c>
      <c r="N35" s="43"/>
      <c r="O35" s="51"/>
      <c r="P35" s="52"/>
    </row>
    <row r="36" spans="2:26" ht="14.25" customHeight="1">
      <c r="B36" s="41">
        <v>25</v>
      </c>
      <c r="C36" s="119" t="s">
        <v>174</v>
      </c>
      <c r="D36" s="93"/>
      <c r="E36" s="93"/>
      <c r="F36" s="93"/>
      <c r="G36" s="93"/>
      <c r="H36" s="93"/>
      <c r="I36" s="93"/>
      <c r="J36" s="93"/>
      <c r="K36" s="94"/>
      <c r="L36" s="44"/>
      <c r="M36" s="43"/>
      <c r="N36" s="43" t="s">
        <v>46</v>
      </c>
      <c r="O36" s="51"/>
      <c r="P36" s="52"/>
    </row>
    <row r="37" spans="2:26" ht="14.25" customHeight="1">
      <c r="B37" s="35">
        <v>26</v>
      </c>
      <c r="C37" s="119" t="s">
        <v>175</v>
      </c>
      <c r="D37" s="93"/>
      <c r="E37" s="93"/>
      <c r="F37" s="93"/>
      <c r="G37" s="93"/>
      <c r="H37" s="93"/>
      <c r="I37" s="93"/>
      <c r="J37" s="93"/>
      <c r="K37" s="94"/>
      <c r="L37" s="44"/>
      <c r="M37" s="43" t="s">
        <v>46</v>
      </c>
      <c r="N37" s="43"/>
      <c r="O37" s="51"/>
      <c r="P37" s="52"/>
      <c r="R37" s="54"/>
      <c r="S37" s="54"/>
      <c r="T37" s="54"/>
      <c r="U37" s="54"/>
      <c r="V37" s="54"/>
      <c r="W37" s="54"/>
      <c r="X37" s="54"/>
      <c r="Y37" s="54"/>
      <c r="Z37" s="54"/>
    </row>
    <row r="38" spans="2:26" ht="14.25" customHeight="1">
      <c r="B38" s="41">
        <v>28</v>
      </c>
      <c r="C38" s="119" t="s">
        <v>176</v>
      </c>
      <c r="D38" s="93"/>
      <c r="E38" s="93"/>
      <c r="F38" s="93"/>
      <c r="G38" s="93"/>
      <c r="H38" s="93"/>
      <c r="I38" s="93"/>
      <c r="J38" s="93"/>
      <c r="K38" s="94"/>
      <c r="L38" s="44"/>
      <c r="M38" s="43"/>
      <c r="N38" s="43" t="s">
        <v>46</v>
      </c>
      <c r="O38" s="51"/>
      <c r="P38" s="52"/>
    </row>
    <row r="39" spans="2:26" ht="14.25" customHeight="1">
      <c r="B39" s="35">
        <v>29</v>
      </c>
      <c r="C39" s="119" t="s">
        <v>177</v>
      </c>
      <c r="D39" s="93"/>
      <c r="E39" s="93"/>
      <c r="F39" s="93"/>
      <c r="G39" s="93"/>
      <c r="H39" s="93"/>
      <c r="I39" s="93"/>
      <c r="J39" s="93"/>
      <c r="K39" s="94"/>
      <c r="L39" s="44"/>
      <c r="M39" s="82" t="s">
        <v>46</v>
      </c>
      <c r="N39" s="43"/>
      <c r="O39" s="51"/>
      <c r="P39" s="52"/>
    </row>
    <row r="40" spans="2:26" ht="14.25" customHeight="1">
      <c r="B40" s="41">
        <v>31</v>
      </c>
      <c r="C40" s="119" t="s">
        <v>178</v>
      </c>
      <c r="D40" s="93"/>
      <c r="E40" s="93"/>
      <c r="F40" s="93"/>
      <c r="G40" s="93"/>
      <c r="H40" s="93"/>
      <c r="I40" s="93"/>
      <c r="J40" s="93"/>
      <c r="K40" s="94"/>
      <c r="L40" s="44"/>
      <c r="M40" s="43" t="s">
        <v>46</v>
      </c>
      <c r="N40" s="43"/>
      <c r="O40" s="51"/>
      <c r="P40" s="52"/>
    </row>
    <row r="41" spans="2:26" ht="14.25" customHeight="1">
      <c r="B41" s="35">
        <v>32</v>
      </c>
      <c r="C41" s="119" t="s">
        <v>179</v>
      </c>
      <c r="D41" s="93"/>
      <c r="E41" s="93"/>
      <c r="F41" s="93"/>
      <c r="G41" s="93"/>
      <c r="H41" s="93"/>
      <c r="I41" s="93"/>
      <c r="J41" s="93"/>
      <c r="K41" s="94"/>
      <c r="L41" s="44"/>
      <c r="M41" s="43" t="s">
        <v>46</v>
      </c>
      <c r="N41" s="43"/>
      <c r="O41" s="51"/>
      <c r="P41" s="52"/>
    </row>
    <row r="42" spans="2:26" ht="14.25" customHeight="1">
      <c r="B42" s="35">
        <v>33</v>
      </c>
      <c r="C42" s="119" t="s">
        <v>180</v>
      </c>
      <c r="D42" s="93"/>
      <c r="E42" s="93"/>
      <c r="F42" s="93"/>
      <c r="G42" s="93"/>
      <c r="H42" s="93"/>
      <c r="I42" s="93"/>
      <c r="J42" s="93"/>
      <c r="K42" s="94"/>
      <c r="L42" s="44"/>
      <c r="M42" s="43" t="s">
        <v>46</v>
      </c>
      <c r="N42" s="43"/>
      <c r="O42" s="51"/>
      <c r="P42" s="52"/>
    </row>
    <row r="43" spans="2:26" ht="14.25" customHeight="1">
      <c r="B43" s="29"/>
    </row>
    <row r="44" spans="2:26" ht="14.25" customHeight="1">
      <c r="B44" s="29"/>
    </row>
    <row r="45" spans="2:26" ht="14.25" customHeight="1">
      <c r="B45" s="29"/>
    </row>
    <row r="46" spans="2:26" ht="14.25" customHeight="1">
      <c r="B46" s="29"/>
    </row>
    <row r="47" spans="2:26" ht="14.25" customHeight="1">
      <c r="B47" s="29"/>
    </row>
    <row r="48" spans="2:26" ht="14.25" customHeight="1">
      <c r="B48" s="29"/>
    </row>
    <row r="49" spans="2:2" ht="14.25" customHeight="1">
      <c r="B49" s="29"/>
    </row>
    <row r="50" spans="2:2" ht="14.25" customHeight="1">
      <c r="B50" s="29"/>
    </row>
    <row r="51" spans="2:2" ht="14.25" customHeight="1">
      <c r="B51" s="29"/>
    </row>
    <row r="52" spans="2:2" ht="14.25" customHeight="1">
      <c r="B52" s="29"/>
    </row>
    <row r="53" spans="2:2" ht="14.25" customHeight="1">
      <c r="B53" s="29"/>
    </row>
    <row r="54" spans="2:2" ht="14.25" customHeight="1">
      <c r="B54" s="29"/>
    </row>
    <row r="55" spans="2:2" ht="14.25" customHeight="1">
      <c r="B55" s="29"/>
    </row>
    <row r="56" spans="2:2" ht="14.25" customHeight="1">
      <c r="B56" s="29"/>
    </row>
    <row r="57" spans="2:2" ht="14.25" customHeight="1">
      <c r="B57" s="29"/>
    </row>
    <row r="58" spans="2:2" ht="14.25" customHeight="1">
      <c r="B58" s="29"/>
    </row>
    <row r="59" spans="2:2" ht="14.25" customHeight="1">
      <c r="B59" s="29"/>
    </row>
    <row r="60" spans="2:2" ht="14.25" customHeight="1">
      <c r="B60" s="29"/>
    </row>
    <row r="61" spans="2:2" ht="14.25" customHeight="1">
      <c r="B61" s="29"/>
    </row>
    <row r="62" spans="2:2" ht="14.25" customHeight="1">
      <c r="B62" s="29"/>
    </row>
    <row r="63" spans="2:2" ht="14.25" customHeight="1">
      <c r="B63" s="29"/>
    </row>
    <row r="64" spans="2:2" ht="14.25" customHeight="1">
      <c r="B64" s="29"/>
    </row>
    <row r="65" spans="2:2" ht="14.25" customHeight="1">
      <c r="B65" s="29"/>
    </row>
    <row r="66" spans="2:2" ht="14.25" customHeight="1">
      <c r="B66" s="29"/>
    </row>
    <row r="67" spans="2:2" ht="14.25" customHeight="1">
      <c r="B67" s="29"/>
    </row>
    <row r="68" spans="2:2" ht="14.25" customHeight="1">
      <c r="B68" s="29"/>
    </row>
    <row r="69" spans="2:2" ht="14.25" customHeight="1">
      <c r="B69" s="29"/>
    </row>
    <row r="70" spans="2:2" ht="14.25" customHeight="1">
      <c r="B70" s="29"/>
    </row>
    <row r="71" spans="2:2" ht="14.25" customHeight="1">
      <c r="B71" s="29"/>
    </row>
    <row r="72" spans="2:2" ht="14.25" customHeight="1">
      <c r="B72" s="29"/>
    </row>
    <row r="73" spans="2:2" ht="14.25" customHeight="1">
      <c r="B73" s="29"/>
    </row>
    <row r="74" spans="2:2" ht="14.25" customHeight="1">
      <c r="B74" s="29"/>
    </row>
    <row r="75" spans="2:2" ht="14.25" customHeight="1">
      <c r="B75" s="29"/>
    </row>
    <row r="76" spans="2:2" ht="14.25" customHeight="1">
      <c r="B76" s="29"/>
    </row>
    <row r="77" spans="2:2" ht="14.25" customHeight="1">
      <c r="B77" s="29"/>
    </row>
    <row r="78" spans="2:2" ht="14.25" customHeight="1">
      <c r="B78" s="29"/>
    </row>
    <row r="79" spans="2:2" ht="14.25" customHeight="1">
      <c r="B79" s="29"/>
    </row>
    <row r="80" spans="2:2"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sheetData>
  <mergeCells count="38">
    <mergeCell ref="C2:G2"/>
    <mergeCell ref="C3:G3"/>
    <mergeCell ref="C4:G4"/>
    <mergeCell ref="B5:C5"/>
    <mergeCell ref="M8:O8"/>
    <mergeCell ref="P8:P9"/>
    <mergeCell ref="D9:I9"/>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9:K39"/>
    <mergeCell ref="C40:K40"/>
    <mergeCell ref="C41:K41"/>
    <mergeCell ref="C42:K42"/>
    <mergeCell ref="C33:K33"/>
    <mergeCell ref="C34:K34"/>
    <mergeCell ref="C35:K35"/>
    <mergeCell ref="C36:K36"/>
    <mergeCell ref="C37:K37"/>
    <mergeCell ref="C38:K38"/>
  </mergeCells>
  <hyperlinks>
    <hyperlink ref="V2" location="'REQ. NO FUN. GEN'!A1" display="Volver" xr:uid="{00000000-0004-0000-0700-000000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V1002"/>
  <sheetViews>
    <sheetView topLeftCell="A30" workbookViewId="0">
      <selection activeCell="N46" sqref="N46"/>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36"/>
      <c r="D9" s="125" t="s">
        <v>181</v>
      </c>
      <c r="E9" s="99"/>
      <c r="F9" s="99"/>
      <c r="G9" s="99"/>
      <c r="H9" s="99"/>
      <c r="I9" s="100"/>
      <c r="J9" s="36"/>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t="s">
        <v>182</v>
      </c>
      <c r="D12" s="93"/>
      <c r="E12" s="93"/>
      <c r="F12" s="93"/>
      <c r="G12" s="93"/>
      <c r="H12" s="93"/>
      <c r="I12" s="93"/>
      <c r="J12" s="93"/>
      <c r="K12" s="94"/>
      <c r="L12" s="42"/>
      <c r="M12" s="43" t="s">
        <v>46</v>
      </c>
      <c r="N12" s="43"/>
      <c r="O12" s="43"/>
      <c r="P12" s="55"/>
      <c r="R12" t="s">
        <v>669</v>
      </c>
    </row>
    <row r="13" spans="2:22" ht="14.25" customHeight="1">
      <c r="B13" s="41">
        <v>2</v>
      </c>
      <c r="C13" s="117" t="s">
        <v>183</v>
      </c>
      <c r="D13" s="93"/>
      <c r="E13" s="93"/>
      <c r="F13" s="93"/>
      <c r="G13" s="93"/>
      <c r="H13" s="93"/>
      <c r="I13" s="93"/>
      <c r="J13" s="93"/>
      <c r="K13" s="94"/>
      <c r="L13" s="42"/>
      <c r="M13" s="43"/>
      <c r="N13" s="43" t="s">
        <v>46</v>
      </c>
      <c r="O13" s="43"/>
      <c r="P13" s="55"/>
    </row>
    <row r="14" spans="2:22" ht="14.25" customHeight="1">
      <c r="B14" s="41">
        <v>3</v>
      </c>
      <c r="C14" s="117" t="s">
        <v>184</v>
      </c>
      <c r="D14" s="93"/>
      <c r="E14" s="93"/>
      <c r="F14" s="93"/>
      <c r="G14" s="93"/>
      <c r="H14" s="93"/>
      <c r="I14" s="93"/>
      <c r="J14" s="93"/>
      <c r="K14" s="94"/>
      <c r="L14" s="42"/>
      <c r="M14" s="43" t="s">
        <v>46</v>
      </c>
      <c r="N14" s="43"/>
      <c r="O14" s="43"/>
      <c r="P14" s="55"/>
    </row>
    <row r="15" spans="2:22" ht="14.25" customHeight="1">
      <c r="B15" s="41">
        <v>5</v>
      </c>
      <c r="C15" s="117" t="s">
        <v>185</v>
      </c>
      <c r="D15" s="93"/>
      <c r="E15" s="93"/>
      <c r="F15" s="93"/>
      <c r="G15" s="93"/>
      <c r="H15" s="93"/>
      <c r="I15" s="93"/>
      <c r="J15" s="93"/>
      <c r="K15" s="94"/>
      <c r="L15" s="44"/>
      <c r="M15" s="43" t="s">
        <v>46</v>
      </c>
      <c r="N15" s="43"/>
      <c r="O15" s="43"/>
      <c r="P15" s="43"/>
    </row>
    <row r="16" spans="2:22" ht="14.25" customHeight="1">
      <c r="B16" s="41">
        <v>6</v>
      </c>
      <c r="C16" s="117" t="s">
        <v>186</v>
      </c>
      <c r="D16" s="93"/>
      <c r="E16" s="93"/>
      <c r="F16" s="93"/>
      <c r="G16" s="93"/>
      <c r="H16" s="93"/>
      <c r="I16" s="93"/>
      <c r="J16" s="93"/>
      <c r="K16" s="94"/>
      <c r="M16" s="43" t="s">
        <v>46</v>
      </c>
      <c r="N16" s="43"/>
      <c r="O16" s="43"/>
      <c r="P16" s="43"/>
    </row>
    <row r="17" spans="2:16" ht="14.25" customHeight="1">
      <c r="B17" s="41">
        <v>8</v>
      </c>
      <c r="C17" s="117" t="s">
        <v>187</v>
      </c>
      <c r="D17" s="93"/>
      <c r="E17" s="93"/>
      <c r="F17" s="93"/>
      <c r="G17" s="93"/>
      <c r="H17" s="93"/>
      <c r="I17" s="93"/>
      <c r="J17" s="93"/>
      <c r="K17" s="94"/>
      <c r="M17" s="43" t="s">
        <v>46</v>
      </c>
      <c r="N17" s="43"/>
      <c r="O17" s="43"/>
      <c r="P17" s="43"/>
    </row>
    <row r="18" spans="2:16" ht="33.75" customHeight="1">
      <c r="B18" s="41">
        <v>9</v>
      </c>
      <c r="C18" s="117" t="s">
        <v>657</v>
      </c>
      <c r="D18" s="131"/>
      <c r="E18" s="131"/>
      <c r="F18" s="131"/>
      <c r="G18" s="131"/>
      <c r="H18" s="131"/>
      <c r="I18" s="131"/>
      <c r="J18" s="131"/>
      <c r="K18" s="132"/>
      <c r="M18" s="43" t="s">
        <v>46</v>
      </c>
      <c r="N18" s="43"/>
      <c r="O18" s="43"/>
      <c r="P18" s="43"/>
    </row>
    <row r="19" spans="2:16" ht="33.75" customHeight="1">
      <c r="B19" s="41">
        <v>10</v>
      </c>
      <c r="C19" s="117" t="s">
        <v>658</v>
      </c>
      <c r="D19" s="131"/>
      <c r="E19" s="131"/>
      <c r="F19" s="131"/>
      <c r="G19" s="131"/>
      <c r="H19" s="131"/>
      <c r="I19" s="131"/>
      <c r="J19" s="131"/>
      <c r="K19" s="132"/>
      <c r="M19" s="43" t="s">
        <v>46</v>
      </c>
      <c r="N19" s="43"/>
      <c r="O19" s="43"/>
      <c r="P19" s="43"/>
    </row>
    <row r="20" spans="2:16" ht="33.75" customHeight="1">
      <c r="B20" s="41">
        <v>11</v>
      </c>
      <c r="C20" s="117" t="s">
        <v>660</v>
      </c>
      <c r="D20" s="131"/>
      <c r="E20" s="131"/>
      <c r="F20" s="131"/>
      <c r="G20" s="131"/>
      <c r="H20" s="131"/>
      <c r="I20" s="131"/>
      <c r="J20" s="131"/>
      <c r="K20" s="132"/>
      <c r="M20" s="43" t="s">
        <v>46</v>
      </c>
      <c r="N20" s="43"/>
      <c r="O20" s="43"/>
      <c r="P20" s="43"/>
    </row>
    <row r="21" spans="2:16" ht="33.75" customHeight="1">
      <c r="B21" s="41">
        <v>12</v>
      </c>
      <c r="C21" s="117" t="s">
        <v>659</v>
      </c>
      <c r="D21" s="131"/>
      <c r="E21" s="131"/>
      <c r="F21" s="131"/>
      <c r="G21" s="131"/>
      <c r="H21" s="131"/>
      <c r="I21" s="131"/>
      <c r="J21" s="131"/>
      <c r="K21" s="132"/>
      <c r="M21" s="43" t="s">
        <v>46</v>
      </c>
      <c r="N21" s="43"/>
      <c r="O21" s="43"/>
      <c r="P21" s="43"/>
    </row>
    <row r="22" spans="2:16" ht="30" customHeight="1">
      <c r="B22" s="41">
        <v>13</v>
      </c>
      <c r="C22" s="117" t="s">
        <v>662</v>
      </c>
      <c r="D22" s="131"/>
      <c r="E22" s="131"/>
      <c r="F22" s="131"/>
      <c r="G22" s="131"/>
      <c r="H22" s="131"/>
      <c r="I22" s="131"/>
      <c r="J22" s="131"/>
      <c r="K22" s="132"/>
      <c r="M22" s="43" t="s">
        <v>46</v>
      </c>
      <c r="N22" s="43"/>
      <c r="O22" s="43"/>
      <c r="P22" s="43"/>
    </row>
    <row r="23" spans="2:16" ht="33.75" customHeight="1">
      <c r="B23" s="41">
        <v>14</v>
      </c>
      <c r="C23" s="117" t="s">
        <v>663</v>
      </c>
      <c r="D23" s="131"/>
      <c r="E23" s="131"/>
      <c r="F23" s="131"/>
      <c r="G23" s="131"/>
      <c r="H23" s="131"/>
      <c r="I23" s="131"/>
      <c r="J23" s="131"/>
      <c r="K23" s="132"/>
      <c r="M23" s="43" t="s">
        <v>46</v>
      </c>
      <c r="N23" s="43"/>
      <c r="O23" s="43"/>
      <c r="P23" s="43"/>
    </row>
    <row r="24" spans="2:16" ht="32.25" customHeight="1">
      <c r="B24" s="41">
        <v>15</v>
      </c>
      <c r="C24" s="117" t="s">
        <v>664</v>
      </c>
      <c r="D24" s="131"/>
      <c r="E24" s="131"/>
      <c r="F24" s="131"/>
      <c r="G24" s="131"/>
      <c r="H24" s="131"/>
      <c r="I24" s="131"/>
      <c r="J24" s="131"/>
      <c r="K24" s="132"/>
      <c r="M24" s="43" t="s">
        <v>46</v>
      </c>
      <c r="N24" s="43"/>
      <c r="O24" s="43"/>
      <c r="P24" s="43"/>
    </row>
    <row r="25" spans="2:16" ht="15" customHeight="1">
      <c r="B25" s="41">
        <v>16</v>
      </c>
      <c r="C25" s="117" t="s">
        <v>665</v>
      </c>
      <c r="D25" s="131"/>
      <c r="E25" s="131"/>
      <c r="F25" s="131"/>
      <c r="G25" s="131"/>
      <c r="H25" s="131"/>
      <c r="I25" s="131"/>
      <c r="J25" s="131"/>
      <c r="K25" s="132"/>
      <c r="M25" s="43" t="s">
        <v>46</v>
      </c>
      <c r="N25" s="43"/>
      <c r="O25" s="43"/>
      <c r="P25" s="43"/>
    </row>
    <row r="26" spans="2:16" ht="31.5" customHeight="1">
      <c r="B26" s="41">
        <v>17</v>
      </c>
      <c r="C26" s="117" t="s">
        <v>667</v>
      </c>
      <c r="D26" s="131"/>
      <c r="E26" s="131"/>
      <c r="F26" s="131"/>
      <c r="G26" s="131"/>
      <c r="H26" s="131"/>
      <c r="I26" s="131"/>
      <c r="J26" s="131"/>
      <c r="K26" s="132"/>
      <c r="M26" s="43" t="s">
        <v>46</v>
      </c>
      <c r="N26" s="43"/>
      <c r="O26" s="43"/>
      <c r="P26" s="43"/>
    </row>
    <row r="27" spans="2:16" ht="32.25" customHeight="1">
      <c r="B27" s="41">
        <v>18</v>
      </c>
      <c r="C27" s="117" t="s">
        <v>666</v>
      </c>
      <c r="D27" s="131"/>
      <c r="E27" s="131"/>
      <c r="F27" s="131"/>
      <c r="G27" s="131"/>
      <c r="H27" s="131"/>
      <c r="I27" s="131"/>
      <c r="J27" s="131"/>
      <c r="K27" s="132"/>
      <c r="M27" s="43" t="s">
        <v>46</v>
      </c>
      <c r="N27" s="43"/>
      <c r="O27" s="43"/>
      <c r="P27" s="43"/>
    </row>
    <row r="28" spans="2:16" ht="39.75" customHeight="1">
      <c r="B28" s="41">
        <v>19</v>
      </c>
      <c r="C28" s="117" t="s">
        <v>670</v>
      </c>
      <c r="D28" s="93"/>
      <c r="E28" s="93"/>
      <c r="F28" s="93"/>
      <c r="G28" s="93"/>
      <c r="H28" s="93"/>
      <c r="I28" s="93"/>
      <c r="J28" s="93"/>
      <c r="K28" s="94"/>
      <c r="M28" s="43" t="s">
        <v>46</v>
      </c>
      <c r="N28" s="43"/>
      <c r="O28" s="43"/>
      <c r="P28" s="43"/>
    </row>
    <row r="29" spans="2:16" ht="66" customHeight="1">
      <c r="B29" s="41">
        <v>20</v>
      </c>
      <c r="C29" s="117" t="s">
        <v>671</v>
      </c>
      <c r="D29" s="93"/>
      <c r="E29" s="93"/>
      <c r="F29" s="93"/>
      <c r="G29" s="93"/>
      <c r="H29" s="93"/>
      <c r="I29" s="93"/>
      <c r="J29" s="93"/>
      <c r="K29" s="94"/>
      <c r="M29" s="43" t="s">
        <v>46</v>
      </c>
      <c r="N29" s="43"/>
      <c r="O29" s="43"/>
      <c r="P29" s="43"/>
    </row>
    <row r="30" spans="2:16" ht="31.5" customHeight="1">
      <c r="B30" s="41">
        <v>21</v>
      </c>
      <c r="C30" s="117" t="s">
        <v>672</v>
      </c>
      <c r="D30" s="93"/>
      <c r="E30" s="93"/>
      <c r="F30" s="93"/>
      <c r="G30" s="93"/>
      <c r="H30" s="93"/>
      <c r="I30" s="93"/>
      <c r="J30" s="93"/>
      <c r="K30" s="94"/>
      <c r="M30" s="43" t="s">
        <v>46</v>
      </c>
      <c r="N30" s="43"/>
      <c r="O30" s="43"/>
      <c r="P30" s="43"/>
    </row>
    <row r="31" spans="2:16" ht="14.25" customHeight="1">
      <c r="B31" s="41">
        <v>22</v>
      </c>
      <c r="C31" s="117" t="s">
        <v>190</v>
      </c>
      <c r="D31" s="93"/>
      <c r="E31" s="93"/>
      <c r="F31" s="93"/>
      <c r="G31" s="93"/>
      <c r="H31" s="93"/>
      <c r="I31" s="93"/>
      <c r="J31" s="93"/>
      <c r="K31" s="94"/>
      <c r="L31" s="44"/>
      <c r="M31" s="43" t="s">
        <v>46</v>
      </c>
      <c r="N31" s="43"/>
      <c r="O31" s="43"/>
      <c r="P31" s="43"/>
    </row>
    <row r="32" spans="2:16" ht="14.25" customHeight="1">
      <c r="B32" s="41">
        <v>23</v>
      </c>
      <c r="C32" s="117" t="s">
        <v>188</v>
      </c>
      <c r="D32" s="93"/>
      <c r="E32" s="93"/>
      <c r="F32" s="93"/>
      <c r="G32" s="93"/>
      <c r="H32" s="93"/>
      <c r="I32" s="93"/>
      <c r="J32" s="93"/>
      <c r="K32" s="94"/>
      <c r="L32" s="42"/>
      <c r="M32" s="43" t="s">
        <v>46</v>
      </c>
      <c r="N32" s="43"/>
      <c r="O32" s="43"/>
      <c r="P32" s="43"/>
    </row>
    <row r="33" spans="2:16" ht="14.25" customHeight="1">
      <c r="B33" s="41">
        <v>24</v>
      </c>
      <c r="C33" s="117" t="s">
        <v>189</v>
      </c>
      <c r="D33" s="93"/>
      <c r="E33" s="93"/>
      <c r="F33" s="93"/>
      <c r="G33" s="93"/>
      <c r="H33" s="93"/>
      <c r="I33" s="93"/>
      <c r="J33" s="93"/>
      <c r="K33" s="94"/>
      <c r="L33" s="44"/>
      <c r="M33" s="43" t="s">
        <v>46</v>
      </c>
      <c r="N33" s="43"/>
      <c r="O33" s="43"/>
      <c r="P33" s="43"/>
    </row>
    <row r="34" spans="2:16" ht="14.25" customHeight="1">
      <c r="B34" s="41">
        <v>25</v>
      </c>
      <c r="C34" s="117" t="s">
        <v>191</v>
      </c>
      <c r="D34" s="93"/>
      <c r="E34" s="93"/>
      <c r="F34" s="93"/>
      <c r="G34" s="93"/>
      <c r="H34" s="93"/>
      <c r="I34" s="93"/>
      <c r="J34" s="93"/>
      <c r="K34" s="94"/>
      <c r="M34" s="43" t="s">
        <v>46</v>
      </c>
      <c r="N34" s="43"/>
      <c r="O34" s="43"/>
      <c r="P34" s="43"/>
    </row>
    <row r="35" spans="2:16" ht="14.25" customHeight="1">
      <c r="B35" s="41">
        <v>26</v>
      </c>
      <c r="C35" s="117" t="s">
        <v>674</v>
      </c>
      <c r="D35" s="93"/>
      <c r="E35" s="93"/>
      <c r="F35" s="93"/>
      <c r="G35" s="93"/>
      <c r="H35" s="93"/>
      <c r="I35" s="93"/>
      <c r="J35" s="93"/>
      <c r="K35" s="94"/>
      <c r="M35" s="43" t="s">
        <v>46</v>
      </c>
      <c r="N35" s="43"/>
      <c r="O35" s="43"/>
      <c r="P35" s="43"/>
    </row>
    <row r="36" spans="2:16" ht="14.25" customHeight="1">
      <c r="B36" s="41">
        <v>27</v>
      </c>
      <c r="C36" s="117" t="s">
        <v>192</v>
      </c>
      <c r="D36" s="93"/>
      <c r="E36" s="93"/>
      <c r="F36" s="93"/>
      <c r="G36" s="93"/>
      <c r="H36" s="93"/>
      <c r="I36" s="93"/>
      <c r="J36" s="93"/>
      <c r="K36" s="94"/>
      <c r="L36" s="42"/>
      <c r="M36" s="43" t="s">
        <v>46</v>
      </c>
      <c r="N36" s="43"/>
      <c r="O36" s="43"/>
      <c r="P36" s="43"/>
    </row>
    <row r="37" spans="2:16" ht="15.75" customHeight="1">
      <c r="B37" s="41">
        <v>28</v>
      </c>
      <c r="C37" s="117" t="s">
        <v>193</v>
      </c>
      <c r="D37" s="93"/>
      <c r="E37" s="93"/>
      <c r="F37" s="93"/>
      <c r="G37" s="93"/>
      <c r="H37" s="93"/>
      <c r="I37" s="93"/>
      <c r="J37" s="93"/>
      <c r="K37" s="94"/>
      <c r="L37" s="44"/>
      <c r="M37" s="43" t="s">
        <v>46</v>
      </c>
      <c r="N37" s="43"/>
      <c r="O37" s="43"/>
      <c r="P37" s="43"/>
    </row>
    <row r="38" spans="2:16" ht="15.75" customHeight="1">
      <c r="B38" s="41">
        <v>29</v>
      </c>
      <c r="C38" s="117" t="s">
        <v>625</v>
      </c>
      <c r="D38" s="93"/>
      <c r="E38" s="93"/>
      <c r="F38" s="93"/>
      <c r="G38" s="93"/>
      <c r="H38" s="93"/>
      <c r="I38" s="93"/>
      <c r="J38" s="93"/>
      <c r="K38" s="94"/>
      <c r="M38" s="43" t="s">
        <v>46</v>
      </c>
      <c r="N38" s="43"/>
      <c r="O38" s="43"/>
      <c r="P38" s="43"/>
    </row>
    <row r="39" spans="2:16" ht="15.75" customHeight="1">
      <c r="B39" s="41">
        <v>30</v>
      </c>
      <c r="C39" s="117" t="s">
        <v>779</v>
      </c>
      <c r="D39" s="93"/>
      <c r="E39" s="93"/>
      <c r="F39" s="93"/>
      <c r="G39" s="93"/>
      <c r="H39" s="93"/>
      <c r="I39" s="93"/>
      <c r="J39" s="93"/>
      <c r="K39" s="94"/>
      <c r="M39" s="43" t="s">
        <v>46</v>
      </c>
      <c r="N39" s="43"/>
      <c r="O39" s="43"/>
      <c r="P39" s="43"/>
    </row>
    <row r="40" spans="2:16" ht="15.75" customHeight="1">
      <c r="B40" s="41">
        <v>31</v>
      </c>
      <c r="C40" s="117" t="s">
        <v>194</v>
      </c>
      <c r="D40" s="93"/>
      <c r="E40" s="93"/>
      <c r="F40" s="93"/>
      <c r="G40" s="93"/>
      <c r="H40" s="93"/>
      <c r="I40" s="93"/>
      <c r="J40" s="93"/>
      <c r="K40" s="94"/>
      <c r="M40" s="43" t="s">
        <v>46</v>
      </c>
      <c r="N40" s="43"/>
      <c r="O40" s="43"/>
      <c r="P40" s="43"/>
    </row>
    <row r="41" spans="2:16" ht="15.75" customHeight="1">
      <c r="B41" s="41">
        <v>32</v>
      </c>
      <c r="C41" s="117" t="s">
        <v>195</v>
      </c>
      <c r="D41" s="93"/>
      <c r="E41" s="93"/>
      <c r="F41" s="93"/>
      <c r="G41" s="93"/>
      <c r="H41" s="93"/>
      <c r="I41" s="93"/>
      <c r="J41" s="93"/>
      <c r="K41" s="94"/>
      <c r="M41" s="43" t="s">
        <v>46</v>
      </c>
      <c r="N41" s="43"/>
      <c r="O41" s="43"/>
      <c r="P41" s="43"/>
    </row>
    <row r="42" spans="2:16" ht="15.75" customHeight="1">
      <c r="B42" s="41">
        <v>33</v>
      </c>
      <c r="C42" s="117" t="s">
        <v>196</v>
      </c>
      <c r="D42" s="93"/>
      <c r="E42" s="93"/>
      <c r="F42" s="93"/>
      <c r="G42" s="93"/>
      <c r="H42" s="93"/>
      <c r="I42" s="93"/>
      <c r="J42" s="93"/>
      <c r="K42" s="94"/>
      <c r="M42" s="43" t="s">
        <v>46</v>
      </c>
      <c r="N42" s="43"/>
      <c r="O42" s="43"/>
      <c r="P42" s="43"/>
    </row>
    <row r="43" spans="2:16" ht="15.75" customHeight="1">
      <c r="B43" s="41">
        <v>34</v>
      </c>
      <c r="C43" s="117" t="s">
        <v>197</v>
      </c>
      <c r="D43" s="93"/>
      <c r="E43" s="93"/>
      <c r="F43" s="93"/>
      <c r="G43" s="93"/>
      <c r="H43" s="93"/>
      <c r="I43" s="93"/>
      <c r="J43" s="93"/>
      <c r="K43" s="94"/>
      <c r="M43" s="43" t="s">
        <v>46</v>
      </c>
      <c r="N43" s="43"/>
      <c r="O43" s="43"/>
      <c r="P43" s="43"/>
    </row>
    <row r="44" spans="2:16" ht="15.75" customHeight="1">
      <c r="B44" s="41">
        <v>35</v>
      </c>
      <c r="C44" s="117" t="s">
        <v>198</v>
      </c>
      <c r="D44" s="93"/>
      <c r="E44" s="93"/>
      <c r="F44" s="93"/>
      <c r="G44" s="93"/>
      <c r="H44" s="93"/>
      <c r="I44" s="93"/>
      <c r="J44" s="93"/>
      <c r="K44" s="94"/>
      <c r="M44" s="43"/>
      <c r="N44" s="43" t="s">
        <v>46</v>
      </c>
      <c r="O44" s="43"/>
      <c r="P44" s="43"/>
    </row>
    <row r="45" spans="2:16" ht="15.75" customHeight="1">
      <c r="B45" s="41">
        <v>36</v>
      </c>
      <c r="C45" s="117" t="s">
        <v>199</v>
      </c>
      <c r="D45" s="93"/>
      <c r="E45" s="93"/>
      <c r="F45" s="93"/>
      <c r="G45" s="93"/>
      <c r="H45" s="93"/>
      <c r="I45" s="93"/>
      <c r="J45" s="93"/>
      <c r="K45" s="94"/>
      <c r="M45" s="43" t="s">
        <v>46</v>
      </c>
      <c r="N45" s="43"/>
      <c r="O45" s="43"/>
      <c r="P45" s="43"/>
    </row>
    <row r="46" spans="2:16" ht="15.75" customHeight="1">
      <c r="B46" s="41">
        <v>37</v>
      </c>
      <c r="C46" s="117" t="s">
        <v>200</v>
      </c>
      <c r="D46" s="93"/>
      <c r="E46" s="93"/>
      <c r="F46" s="93"/>
      <c r="G46" s="93"/>
      <c r="H46" s="93"/>
      <c r="I46" s="93"/>
      <c r="J46" s="93"/>
      <c r="K46" s="94"/>
      <c r="M46" s="43" t="s">
        <v>46</v>
      </c>
      <c r="N46" s="43"/>
      <c r="O46" s="43"/>
      <c r="P46" s="43"/>
    </row>
    <row r="47" spans="2:16" ht="15.75" customHeight="1">
      <c r="B47" s="41">
        <v>38</v>
      </c>
      <c r="C47" s="117" t="s">
        <v>201</v>
      </c>
      <c r="D47" s="93"/>
      <c r="E47" s="93"/>
      <c r="F47" s="93"/>
      <c r="G47" s="93"/>
      <c r="H47" s="93"/>
      <c r="I47" s="93"/>
      <c r="J47" s="93"/>
      <c r="K47" s="94"/>
      <c r="M47" s="43" t="s">
        <v>46</v>
      </c>
      <c r="N47" s="43"/>
      <c r="O47" s="43"/>
      <c r="P47" s="43"/>
    </row>
    <row r="48" spans="2:16" ht="15.75" customHeight="1">
      <c r="B48" s="41">
        <v>39</v>
      </c>
      <c r="C48" s="117" t="s">
        <v>202</v>
      </c>
      <c r="D48" s="93"/>
      <c r="E48" s="93"/>
      <c r="F48" s="93"/>
      <c r="G48" s="93"/>
      <c r="H48" s="93"/>
      <c r="I48" s="93"/>
      <c r="J48" s="93"/>
      <c r="K48" s="94"/>
      <c r="M48" s="43" t="s">
        <v>46</v>
      </c>
      <c r="N48" s="43"/>
      <c r="O48" s="43"/>
      <c r="P48" s="43"/>
    </row>
    <row r="49" spans="2:16" ht="15.75" customHeight="1">
      <c r="B49" s="41"/>
      <c r="C49" s="117"/>
      <c r="D49" s="93"/>
      <c r="E49" s="93"/>
      <c r="F49" s="93"/>
      <c r="G49" s="93"/>
      <c r="H49" s="93"/>
      <c r="I49" s="93"/>
      <c r="J49" s="93"/>
      <c r="K49" s="94"/>
      <c r="M49" s="43"/>
      <c r="N49" s="43"/>
      <c r="O49" s="43"/>
      <c r="P49" s="43"/>
    </row>
    <row r="50" spans="2:16" ht="15.75" customHeight="1">
      <c r="B50" s="41"/>
      <c r="C50" s="117"/>
      <c r="D50" s="93"/>
      <c r="E50" s="93"/>
      <c r="F50" s="93"/>
      <c r="G50" s="93"/>
      <c r="H50" s="93"/>
      <c r="I50" s="93"/>
      <c r="J50" s="93"/>
      <c r="K50" s="94"/>
      <c r="M50" s="43"/>
      <c r="N50" s="43"/>
      <c r="O50" s="43"/>
      <c r="P50" s="43"/>
    </row>
    <row r="51" spans="2:16" ht="15.75" customHeight="1">
      <c r="B51" s="41"/>
      <c r="C51" s="117"/>
      <c r="D51" s="93"/>
      <c r="E51" s="93"/>
      <c r="F51" s="93"/>
      <c r="G51" s="93"/>
      <c r="H51" s="93"/>
      <c r="I51" s="93"/>
      <c r="J51" s="93"/>
      <c r="K51" s="94"/>
      <c r="M51" s="43"/>
      <c r="N51" s="43"/>
      <c r="O51" s="43"/>
      <c r="P51" s="43"/>
    </row>
    <row r="52" spans="2:16" ht="15.75" customHeight="1">
      <c r="B52" s="41"/>
      <c r="C52" s="117"/>
      <c r="D52" s="93"/>
      <c r="E52" s="93"/>
      <c r="F52" s="93"/>
      <c r="G52" s="93"/>
      <c r="H52" s="93"/>
      <c r="I52" s="93"/>
      <c r="J52" s="93"/>
      <c r="K52" s="94"/>
      <c r="M52" s="43"/>
      <c r="N52" s="43"/>
      <c r="O52" s="43"/>
      <c r="P52" s="43"/>
    </row>
    <row r="53" spans="2:16" ht="15.75" customHeight="1">
      <c r="B53" s="41"/>
      <c r="C53" s="117"/>
      <c r="D53" s="93"/>
      <c r="E53" s="93"/>
      <c r="F53" s="93"/>
      <c r="G53" s="93"/>
      <c r="H53" s="93"/>
      <c r="I53" s="93"/>
      <c r="J53" s="93"/>
      <c r="K53" s="94"/>
      <c r="M53" s="43"/>
      <c r="N53" s="43"/>
      <c r="O53" s="43"/>
      <c r="P53" s="43"/>
    </row>
    <row r="54" spans="2:16" ht="15.75" customHeight="1">
      <c r="B54" s="41"/>
      <c r="C54" s="117"/>
      <c r="D54" s="93"/>
      <c r="E54" s="93"/>
      <c r="F54" s="93"/>
      <c r="G54" s="93"/>
      <c r="H54" s="93"/>
      <c r="I54" s="93"/>
      <c r="J54" s="93"/>
      <c r="K54" s="94"/>
      <c r="M54" s="43"/>
      <c r="N54" s="43"/>
      <c r="O54" s="43"/>
      <c r="P54" s="43"/>
    </row>
    <row r="55" spans="2:16" ht="15.75" customHeight="1">
      <c r="B55" s="41"/>
      <c r="C55" s="117"/>
      <c r="D55" s="93"/>
      <c r="E55" s="93"/>
      <c r="F55" s="93"/>
      <c r="G55" s="93"/>
      <c r="H55" s="93"/>
      <c r="I55" s="93"/>
      <c r="J55" s="93"/>
      <c r="K55" s="94"/>
      <c r="M55" s="43"/>
      <c r="N55" s="43"/>
      <c r="O55" s="43"/>
      <c r="P55" s="43"/>
    </row>
    <row r="56" spans="2:16" ht="15.75" customHeight="1">
      <c r="B56" s="41"/>
      <c r="C56" s="117"/>
      <c r="D56" s="93"/>
      <c r="E56" s="93"/>
      <c r="F56" s="93"/>
      <c r="G56" s="93"/>
      <c r="H56" s="93"/>
      <c r="I56" s="93"/>
      <c r="J56" s="93"/>
      <c r="K56" s="94"/>
      <c r="M56" s="43"/>
      <c r="N56" s="43"/>
      <c r="O56" s="43"/>
      <c r="P56" s="43"/>
    </row>
    <row r="57" spans="2:16" ht="15.75" customHeight="1">
      <c r="B57" s="41"/>
      <c r="C57" s="117"/>
      <c r="D57" s="93"/>
      <c r="E57" s="93"/>
      <c r="F57" s="93"/>
      <c r="G57" s="93"/>
      <c r="H57" s="93"/>
      <c r="I57" s="93"/>
      <c r="J57" s="93"/>
      <c r="K57" s="94"/>
      <c r="M57" s="43"/>
      <c r="N57" s="43"/>
      <c r="O57" s="43"/>
      <c r="P57" s="43"/>
    </row>
    <row r="58" spans="2:16" ht="14.25" customHeight="1">
      <c r="B58" s="41"/>
      <c r="C58" s="117"/>
      <c r="D58" s="93"/>
      <c r="E58" s="93"/>
      <c r="F58" s="93"/>
      <c r="G58" s="93"/>
      <c r="H58" s="93"/>
      <c r="I58" s="93"/>
      <c r="J58" s="93"/>
      <c r="K58" s="94"/>
      <c r="M58" s="43"/>
      <c r="N58" s="43"/>
      <c r="O58" s="43"/>
      <c r="P58" s="43"/>
    </row>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55">
    <mergeCell ref="C17:K17"/>
    <mergeCell ref="C18:K18"/>
    <mergeCell ref="C19:K19"/>
    <mergeCell ref="C14:K14"/>
    <mergeCell ref="C15:K15"/>
    <mergeCell ref="C16:K16"/>
    <mergeCell ref="C2:G2"/>
    <mergeCell ref="C3:G3"/>
    <mergeCell ref="C4:G4"/>
    <mergeCell ref="B5:C5"/>
    <mergeCell ref="C13:K13"/>
    <mergeCell ref="M8:O8"/>
    <mergeCell ref="P8:P9"/>
    <mergeCell ref="D9:I9"/>
    <mergeCell ref="C11:E11"/>
    <mergeCell ref="C12:K12"/>
    <mergeCell ref="C31:K31"/>
    <mergeCell ref="C32:K32"/>
    <mergeCell ref="C30:K30"/>
    <mergeCell ref="C22:K22"/>
    <mergeCell ref="C23:K23"/>
    <mergeCell ref="C25:K25"/>
    <mergeCell ref="C29:K29"/>
    <mergeCell ref="C28:K28"/>
    <mergeCell ref="C20:K20"/>
    <mergeCell ref="C21:K21"/>
    <mergeCell ref="C24:K24"/>
    <mergeCell ref="C26:K26"/>
    <mergeCell ref="C27:K27"/>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55:K55"/>
    <mergeCell ref="C56:K56"/>
    <mergeCell ref="C57:K57"/>
    <mergeCell ref="C58:K58"/>
    <mergeCell ref="C48:K48"/>
    <mergeCell ref="C49:K49"/>
    <mergeCell ref="C50:K50"/>
    <mergeCell ref="C51:K51"/>
    <mergeCell ref="C52:K52"/>
    <mergeCell ref="C53:K53"/>
    <mergeCell ref="C54:K54"/>
  </mergeCells>
  <hyperlinks>
    <hyperlink ref="V2" location="'REQ. FUN. GEN'!A1" display="Volver"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V1000"/>
  <sheetViews>
    <sheetView workbookViewId="0">
      <selection activeCell="C26" sqref="C26:K26"/>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32</v>
      </c>
      <c r="C2" s="126" t="s">
        <v>33</v>
      </c>
      <c r="D2" s="104"/>
      <c r="E2" s="104"/>
      <c r="F2" s="104"/>
      <c r="G2" s="104"/>
      <c r="V2" s="56"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36"/>
      <c r="D9" s="125" t="s">
        <v>203</v>
      </c>
      <c r="E9" s="99"/>
      <c r="F9" s="99"/>
      <c r="G9" s="99"/>
      <c r="H9" s="99"/>
      <c r="I9" s="100"/>
      <c r="J9" s="36"/>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t="s">
        <v>204</v>
      </c>
      <c r="D12" s="93"/>
      <c r="E12" s="93"/>
      <c r="F12" s="93"/>
      <c r="G12" s="93"/>
      <c r="H12" s="93"/>
      <c r="I12" s="93"/>
      <c r="J12" s="93"/>
      <c r="K12" s="94"/>
      <c r="L12" s="42"/>
      <c r="M12" s="43" t="s">
        <v>46</v>
      </c>
      <c r="N12" s="43"/>
      <c r="O12" s="43"/>
      <c r="P12" s="43"/>
    </row>
    <row r="13" spans="2:22" ht="14.25" customHeight="1">
      <c r="B13" s="41">
        <v>2</v>
      </c>
      <c r="C13" s="117" t="s">
        <v>205</v>
      </c>
      <c r="D13" s="93"/>
      <c r="E13" s="93"/>
      <c r="F13" s="93"/>
      <c r="G13" s="93"/>
      <c r="H13" s="93"/>
      <c r="I13" s="93"/>
      <c r="J13" s="93"/>
      <c r="K13" s="94"/>
      <c r="M13" s="43"/>
      <c r="N13" s="43" t="s">
        <v>46</v>
      </c>
      <c r="O13" s="43"/>
      <c r="P13" s="43"/>
    </row>
    <row r="14" spans="2:22" ht="14.25" customHeight="1">
      <c r="B14" s="41">
        <v>3</v>
      </c>
      <c r="C14" s="117" t="s">
        <v>206</v>
      </c>
      <c r="D14" s="93"/>
      <c r="E14" s="93"/>
      <c r="F14" s="93"/>
      <c r="G14" s="93"/>
      <c r="H14" s="93"/>
      <c r="I14" s="93"/>
      <c r="J14" s="93"/>
      <c r="K14" s="94"/>
      <c r="M14" s="43" t="s">
        <v>46</v>
      </c>
      <c r="N14" s="43"/>
      <c r="O14" s="43"/>
      <c r="P14" s="43"/>
    </row>
    <row r="15" spans="2:22" ht="14.25" customHeight="1">
      <c r="B15" s="41">
        <v>4</v>
      </c>
      <c r="C15" s="117" t="s">
        <v>207</v>
      </c>
      <c r="D15" s="93"/>
      <c r="E15" s="93"/>
      <c r="F15" s="93"/>
      <c r="G15" s="93"/>
      <c r="H15" s="93"/>
      <c r="I15" s="93"/>
      <c r="J15" s="93"/>
      <c r="K15" s="94"/>
      <c r="L15" s="42"/>
      <c r="M15" s="43"/>
      <c r="N15" s="43" t="s">
        <v>46</v>
      </c>
      <c r="O15" s="43"/>
      <c r="P15" s="43"/>
    </row>
    <row r="16" spans="2:22" ht="14.25" customHeight="1">
      <c r="B16" s="41">
        <v>5</v>
      </c>
      <c r="C16" s="117" t="s">
        <v>208</v>
      </c>
      <c r="D16" s="93"/>
      <c r="E16" s="93"/>
      <c r="F16" s="93"/>
      <c r="G16" s="93"/>
      <c r="H16" s="93"/>
      <c r="I16" s="93"/>
      <c r="J16" s="93"/>
      <c r="K16" s="94"/>
      <c r="M16" s="43" t="s">
        <v>46</v>
      </c>
      <c r="N16" s="43"/>
      <c r="O16" s="43"/>
      <c r="P16" s="43"/>
    </row>
    <row r="17" spans="2:16" ht="14.25" customHeight="1">
      <c r="B17" s="41">
        <v>6</v>
      </c>
      <c r="C17" s="117" t="s">
        <v>209</v>
      </c>
      <c r="D17" s="93"/>
      <c r="E17" s="93"/>
      <c r="F17" s="93"/>
      <c r="G17" s="93"/>
      <c r="H17" s="93"/>
      <c r="I17" s="93"/>
      <c r="J17" s="93"/>
      <c r="K17" s="94"/>
      <c r="M17" s="43" t="s">
        <v>46</v>
      </c>
      <c r="N17" s="43"/>
      <c r="O17" s="43"/>
      <c r="P17" s="43"/>
    </row>
    <row r="18" spans="2:16" ht="14.25" customHeight="1">
      <c r="B18" s="41">
        <v>7</v>
      </c>
      <c r="C18" s="117" t="s">
        <v>210</v>
      </c>
      <c r="D18" s="93"/>
      <c r="E18" s="93"/>
      <c r="F18" s="93"/>
      <c r="G18" s="93"/>
      <c r="H18" s="93"/>
      <c r="I18" s="93"/>
      <c r="J18" s="93"/>
      <c r="K18" s="94"/>
      <c r="L18" s="42"/>
      <c r="M18" s="43" t="s">
        <v>46</v>
      </c>
      <c r="N18" s="43"/>
      <c r="O18" s="43"/>
      <c r="P18" s="43"/>
    </row>
    <row r="19" spans="2:16" ht="14.25" customHeight="1">
      <c r="B19" s="41">
        <v>8</v>
      </c>
      <c r="C19" s="117" t="s">
        <v>211</v>
      </c>
      <c r="D19" s="93"/>
      <c r="E19" s="93"/>
      <c r="F19" s="93"/>
      <c r="G19" s="93"/>
      <c r="H19" s="93"/>
      <c r="I19" s="93"/>
      <c r="J19" s="93"/>
      <c r="K19" s="94"/>
      <c r="L19" s="44"/>
      <c r="M19" s="43"/>
      <c r="N19" s="43" t="s">
        <v>46</v>
      </c>
      <c r="O19" s="43"/>
      <c r="P19" s="43"/>
    </row>
    <row r="20" spans="2:16" ht="15.75" customHeight="1">
      <c r="B20" s="41">
        <v>9</v>
      </c>
      <c r="C20" s="117" t="s">
        <v>212</v>
      </c>
      <c r="D20" s="93"/>
      <c r="E20" s="93"/>
      <c r="F20" s="93"/>
      <c r="G20" s="93"/>
      <c r="H20" s="93"/>
      <c r="I20" s="93"/>
      <c r="J20" s="93"/>
      <c r="K20" s="94"/>
      <c r="M20" s="43" t="s">
        <v>46</v>
      </c>
      <c r="N20" s="43"/>
      <c r="O20" s="43"/>
      <c r="P20" s="43"/>
    </row>
    <row r="21" spans="2:16" ht="14.25" customHeight="1">
      <c r="B21" s="41">
        <v>10</v>
      </c>
      <c r="C21" s="117" t="s">
        <v>213</v>
      </c>
      <c r="D21" s="93"/>
      <c r="E21" s="93"/>
      <c r="F21" s="93"/>
      <c r="G21" s="93"/>
      <c r="H21" s="93"/>
      <c r="I21" s="93"/>
      <c r="J21" s="93"/>
      <c r="K21" s="94"/>
      <c r="M21" s="43" t="s">
        <v>46</v>
      </c>
      <c r="N21" s="43"/>
      <c r="O21" s="43"/>
      <c r="P21" s="43"/>
    </row>
    <row r="22" spans="2:16" ht="14.25" customHeight="1">
      <c r="B22" s="41">
        <v>11</v>
      </c>
      <c r="C22" s="117" t="s">
        <v>214</v>
      </c>
      <c r="D22" s="93"/>
      <c r="E22" s="93"/>
      <c r="F22" s="93"/>
      <c r="G22" s="93"/>
      <c r="H22" s="93"/>
      <c r="I22" s="93"/>
      <c r="J22" s="93"/>
      <c r="K22" s="94"/>
      <c r="L22" s="42"/>
      <c r="M22" s="43" t="s">
        <v>46</v>
      </c>
      <c r="N22" s="43"/>
      <c r="O22" s="43"/>
      <c r="P22" s="43"/>
    </row>
    <row r="23" spans="2:16" ht="15.75" customHeight="1">
      <c r="B23" s="41">
        <v>12</v>
      </c>
      <c r="C23" s="117" t="s">
        <v>215</v>
      </c>
      <c r="D23" s="93"/>
      <c r="E23" s="93"/>
      <c r="F23" s="93"/>
      <c r="G23" s="93"/>
      <c r="H23" s="93"/>
      <c r="I23" s="93"/>
      <c r="J23" s="93"/>
      <c r="K23" s="94"/>
      <c r="L23" s="44"/>
      <c r="M23" s="43" t="s">
        <v>46</v>
      </c>
      <c r="N23" s="43"/>
      <c r="O23" s="43"/>
      <c r="P23" s="43"/>
    </row>
    <row r="24" spans="2:16" ht="14.25" customHeight="1">
      <c r="B24" s="41">
        <v>13</v>
      </c>
      <c r="C24" s="117" t="s">
        <v>216</v>
      </c>
      <c r="D24" s="93"/>
      <c r="E24" s="93"/>
      <c r="F24" s="93"/>
      <c r="G24" s="93"/>
      <c r="H24" s="93"/>
      <c r="I24" s="93"/>
      <c r="J24" s="93"/>
      <c r="K24" s="94"/>
      <c r="M24" s="43" t="s">
        <v>46</v>
      </c>
      <c r="N24" s="43"/>
      <c r="O24" s="43"/>
      <c r="P24" s="43"/>
    </row>
    <row r="25" spans="2:16" ht="14.25" customHeight="1">
      <c r="B25" s="41">
        <v>14</v>
      </c>
      <c r="C25" s="117" t="s">
        <v>217</v>
      </c>
      <c r="D25" s="93"/>
      <c r="E25" s="93"/>
      <c r="F25" s="93"/>
      <c r="G25" s="93"/>
      <c r="H25" s="93"/>
      <c r="I25" s="93"/>
      <c r="J25" s="93"/>
      <c r="K25" s="94"/>
      <c r="M25" s="43"/>
      <c r="N25" s="43" t="s">
        <v>46</v>
      </c>
      <c r="O25" s="43"/>
      <c r="P25" s="43"/>
    </row>
    <row r="26" spans="2:16" ht="14.25" customHeight="1">
      <c r="B26" s="41">
        <v>15</v>
      </c>
      <c r="C26" s="117" t="s">
        <v>218</v>
      </c>
      <c r="D26" s="93"/>
      <c r="E26" s="93"/>
      <c r="F26" s="93"/>
      <c r="G26" s="93"/>
      <c r="H26" s="93"/>
      <c r="I26" s="93"/>
      <c r="J26" s="93"/>
      <c r="K26" s="94"/>
      <c r="M26" s="43" t="s">
        <v>46</v>
      </c>
      <c r="N26" s="43"/>
      <c r="O26" s="43"/>
      <c r="P26" s="43"/>
    </row>
    <row r="27" spans="2:16" ht="15.75" customHeight="1">
      <c r="B27" s="41">
        <v>16</v>
      </c>
      <c r="C27" s="117" t="s">
        <v>219</v>
      </c>
      <c r="D27" s="93"/>
      <c r="E27" s="93"/>
      <c r="F27" s="93"/>
      <c r="G27" s="93"/>
      <c r="H27" s="93"/>
      <c r="I27" s="93"/>
      <c r="J27" s="93"/>
      <c r="K27" s="94"/>
      <c r="M27" s="43" t="s">
        <v>46</v>
      </c>
      <c r="N27" s="43"/>
      <c r="O27" s="43"/>
      <c r="P27" s="43"/>
    </row>
    <row r="28" spans="2:16" ht="14.25" customHeight="1">
      <c r="B28" s="41">
        <v>17</v>
      </c>
      <c r="C28" s="117" t="s">
        <v>220</v>
      </c>
      <c r="D28" s="93"/>
      <c r="E28" s="93"/>
      <c r="F28" s="93"/>
      <c r="G28" s="93"/>
      <c r="H28" s="93"/>
      <c r="I28" s="93"/>
      <c r="J28" s="93"/>
      <c r="K28" s="94"/>
      <c r="M28" s="43" t="s">
        <v>46</v>
      </c>
      <c r="N28" s="43"/>
      <c r="O28" s="43"/>
      <c r="P28" s="43"/>
    </row>
    <row r="29" spans="2:16" ht="14.25" customHeight="1">
      <c r="B29" s="41">
        <v>18</v>
      </c>
      <c r="C29" s="117" t="s">
        <v>221</v>
      </c>
      <c r="D29" s="93"/>
      <c r="E29" s="93"/>
      <c r="F29" s="93"/>
      <c r="G29" s="93"/>
      <c r="H29" s="93"/>
      <c r="I29" s="93"/>
      <c r="J29" s="93"/>
      <c r="K29" s="94"/>
      <c r="M29" s="43" t="s">
        <v>46</v>
      </c>
      <c r="N29" s="43"/>
      <c r="O29" s="43"/>
      <c r="P29" s="43"/>
    </row>
    <row r="30" spans="2:16" ht="14.25" customHeight="1">
      <c r="B30" s="41">
        <v>19</v>
      </c>
      <c r="C30" s="117" t="s">
        <v>222</v>
      </c>
      <c r="D30" s="93"/>
      <c r="E30" s="93"/>
      <c r="F30" s="93"/>
      <c r="G30" s="93"/>
      <c r="H30" s="93"/>
      <c r="I30" s="93"/>
      <c r="J30" s="93"/>
      <c r="K30" s="94"/>
      <c r="M30" s="43" t="s">
        <v>46</v>
      </c>
      <c r="N30" s="43"/>
      <c r="O30" s="43"/>
      <c r="P30" s="43"/>
    </row>
    <row r="31" spans="2:16" ht="14.25" customHeight="1">
      <c r="B31" s="41">
        <v>20</v>
      </c>
      <c r="C31" s="117" t="s">
        <v>223</v>
      </c>
      <c r="D31" s="93"/>
      <c r="E31" s="93"/>
      <c r="F31" s="93"/>
      <c r="G31" s="93"/>
      <c r="H31" s="93"/>
      <c r="I31" s="93"/>
      <c r="J31" s="93"/>
      <c r="K31" s="94"/>
      <c r="M31" s="43" t="s">
        <v>46</v>
      </c>
      <c r="N31" s="43"/>
      <c r="O31" s="43"/>
      <c r="P31" s="43"/>
    </row>
    <row r="32" spans="2:16" ht="14.25" customHeight="1">
      <c r="B32" s="41"/>
      <c r="C32" s="117"/>
      <c r="D32" s="93"/>
      <c r="E32" s="93"/>
      <c r="F32" s="93"/>
      <c r="G32" s="93"/>
      <c r="H32" s="93"/>
      <c r="I32" s="93"/>
      <c r="J32" s="93"/>
      <c r="K32" s="94"/>
      <c r="M32" s="43"/>
      <c r="N32" s="43"/>
      <c r="O32" s="43"/>
      <c r="P32" s="43"/>
    </row>
    <row r="33" spans="2:16" ht="14.25" customHeight="1">
      <c r="B33" s="41"/>
      <c r="C33" s="117"/>
      <c r="D33" s="93"/>
      <c r="E33" s="93"/>
      <c r="F33" s="93"/>
      <c r="G33" s="93"/>
      <c r="H33" s="93"/>
      <c r="I33" s="93"/>
      <c r="J33" s="93"/>
      <c r="K33" s="94"/>
      <c r="M33" s="43"/>
      <c r="N33" s="43"/>
      <c r="O33" s="43"/>
      <c r="P33" s="43"/>
    </row>
    <row r="34" spans="2:16" ht="14.25" customHeight="1">
      <c r="B34" s="35"/>
      <c r="C34" s="117"/>
      <c r="D34" s="93"/>
      <c r="E34" s="93"/>
      <c r="F34" s="93"/>
      <c r="G34" s="93"/>
      <c r="H34" s="93"/>
      <c r="I34" s="93"/>
      <c r="J34" s="93"/>
      <c r="K34" s="94"/>
      <c r="M34" s="43"/>
      <c r="N34" s="43"/>
      <c r="O34" s="43"/>
      <c r="P34" s="43"/>
    </row>
    <row r="35" spans="2:16" ht="14.25" customHeight="1">
      <c r="B35" s="41"/>
      <c r="C35" s="117"/>
      <c r="D35" s="93"/>
      <c r="E35" s="93"/>
      <c r="F35" s="93"/>
      <c r="G35" s="93"/>
      <c r="H35" s="93"/>
      <c r="I35" s="93"/>
      <c r="J35" s="93"/>
      <c r="K35" s="94"/>
      <c r="M35" s="43"/>
      <c r="N35" s="43"/>
      <c r="O35" s="43"/>
      <c r="P35" s="43"/>
    </row>
    <row r="36" spans="2:16" ht="14.25" customHeight="1">
      <c r="B36" s="41"/>
      <c r="C36" s="117"/>
      <c r="D36" s="93"/>
      <c r="E36" s="93"/>
      <c r="F36" s="93"/>
      <c r="G36" s="93"/>
      <c r="H36" s="93"/>
      <c r="I36" s="93"/>
      <c r="J36" s="93"/>
      <c r="K36" s="94"/>
      <c r="M36" s="43"/>
      <c r="N36" s="43"/>
      <c r="O36" s="43"/>
      <c r="P36" s="43"/>
    </row>
    <row r="37" spans="2:16" ht="14.25" customHeight="1">
      <c r="B37" s="35"/>
      <c r="C37" s="117"/>
      <c r="D37" s="93"/>
      <c r="E37" s="93"/>
      <c r="F37" s="93"/>
      <c r="G37" s="93"/>
      <c r="H37" s="93"/>
      <c r="I37" s="93"/>
      <c r="J37" s="93"/>
      <c r="K37" s="94"/>
      <c r="M37" s="43"/>
      <c r="N37" s="43"/>
      <c r="O37" s="43"/>
      <c r="P37" s="43"/>
    </row>
    <row r="38" spans="2:16" ht="14.25" customHeight="1">
      <c r="B38" s="41"/>
      <c r="C38" s="117"/>
      <c r="D38" s="93"/>
      <c r="E38" s="93"/>
      <c r="F38" s="93"/>
      <c r="G38" s="93"/>
      <c r="H38" s="93"/>
      <c r="I38" s="93"/>
      <c r="J38" s="93"/>
      <c r="K38" s="94"/>
      <c r="M38" s="43"/>
      <c r="N38" s="43"/>
      <c r="O38" s="43"/>
      <c r="P38" s="43"/>
    </row>
    <row r="39" spans="2:16" ht="14.25" customHeight="1">
      <c r="B39" s="41"/>
      <c r="C39" s="117"/>
      <c r="D39" s="93"/>
      <c r="E39" s="93"/>
      <c r="F39" s="93"/>
      <c r="G39" s="93"/>
      <c r="H39" s="93"/>
      <c r="I39" s="93"/>
      <c r="J39" s="93"/>
      <c r="K39" s="94"/>
      <c r="M39" s="43"/>
      <c r="N39" s="43"/>
      <c r="O39" s="43"/>
      <c r="P39" s="43"/>
    </row>
    <row r="40" spans="2:16" ht="14.25" customHeight="1">
      <c r="B40" s="35"/>
      <c r="C40" s="117"/>
      <c r="D40" s="93"/>
      <c r="E40" s="93"/>
      <c r="F40" s="93"/>
      <c r="G40" s="93"/>
      <c r="H40" s="93"/>
      <c r="I40" s="93"/>
      <c r="J40" s="93"/>
      <c r="K40" s="94"/>
      <c r="M40" s="43"/>
      <c r="N40" s="43"/>
      <c r="O40" s="43"/>
      <c r="P40" s="43"/>
    </row>
    <row r="41" spans="2:16" ht="14.25" customHeight="1">
      <c r="B41" s="41"/>
      <c r="C41" s="117"/>
      <c r="D41" s="93"/>
      <c r="E41" s="93"/>
      <c r="F41" s="93"/>
      <c r="G41" s="93"/>
      <c r="H41" s="93"/>
      <c r="I41" s="93"/>
      <c r="J41" s="93"/>
      <c r="K41" s="94"/>
      <c r="M41" s="43"/>
      <c r="N41" s="43"/>
      <c r="O41" s="43"/>
      <c r="P41" s="43"/>
    </row>
    <row r="42" spans="2:16" ht="14.25" customHeight="1">
      <c r="B42" s="41"/>
      <c r="C42" s="117"/>
      <c r="D42" s="93"/>
      <c r="E42" s="93"/>
      <c r="F42" s="93"/>
      <c r="G42" s="93"/>
      <c r="H42" s="93"/>
      <c r="I42" s="93"/>
      <c r="J42" s="93"/>
      <c r="K42" s="94"/>
      <c r="M42" s="43"/>
      <c r="N42" s="43"/>
      <c r="O42" s="43"/>
      <c r="P42" s="43"/>
    </row>
    <row r="43" spans="2:16" ht="14.25" customHeight="1">
      <c r="B43" s="35"/>
      <c r="C43" s="117"/>
      <c r="D43" s="93"/>
      <c r="E43" s="93"/>
      <c r="F43" s="93"/>
      <c r="G43" s="93"/>
      <c r="H43" s="93"/>
      <c r="I43" s="93"/>
      <c r="J43" s="93"/>
      <c r="K43" s="94"/>
      <c r="M43" s="43"/>
      <c r="N43" s="43"/>
      <c r="O43" s="43"/>
      <c r="P43" s="43"/>
    </row>
    <row r="44" spans="2:16" ht="14.25" customHeight="1">
      <c r="B44" s="41"/>
      <c r="C44" s="117"/>
      <c r="D44" s="93"/>
      <c r="E44" s="93"/>
      <c r="F44" s="93"/>
      <c r="G44" s="93"/>
      <c r="H44" s="93"/>
      <c r="I44" s="93"/>
      <c r="J44" s="93"/>
      <c r="K44" s="94"/>
      <c r="M44" s="43"/>
      <c r="N44" s="43"/>
      <c r="O44" s="43"/>
      <c r="P44" s="43"/>
    </row>
    <row r="45" spans="2:16" ht="14.25" customHeight="1">
      <c r="B45" s="41"/>
      <c r="C45" s="117"/>
      <c r="D45" s="93"/>
      <c r="E45" s="93"/>
      <c r="F45" s="93"/>
      <c r="G45" s="93"/>
      <c r="H45" s="93"/>
      <c r="I45" s="93"/>
      <c r="J45" s="93"/>
      <c r="K45" s="94"/>
      <c r="M45" s="43"/>
      <c r="N45" s="43"/>
      <c r="O45" s="43"/>
      <c r="P45" s="43"/>
    </row>
    <row r="46" spans="2:16" ht="14.25" customHeight="1">
      <c r="B46" s="35"/>
      <c r="C46" s="117"/>
      <c r="D46" s="93"/>
      <c r="E46" s="93"/>
      <c r="F46" s="93"/>
      <c r="G46" s="93"/>
      <c r="H46" s="93"/>
      <c r="I46" s="93"/>
      <c r="J46" s="93"/>
      <c r="K46" s="94"/>
      <c r="M46" s="43"/>
      <c r="N46" s="43"/>
      <c r="O46" s="43"/>
      <c r="P46" s="43"/>
    </row>
    <row r="47" spans="2:16" ht="14.25" customHeight="1">
      <c r="B47" s="41"/>
      <c r="C47" s="117"/>
      <c r="D47" s="93"/>
      <c r="E47" s="93"/>
      <c r="F47" s="93"/>
      <c r="G47" s="93"/>
      <c r="H47" s="93"/>
      <c r="I47" s="93"/>
      <c r="J47" s="93"/>
      <c r="K47" s="94"/>
      <c r="M47" s="43"/>
      <c r="N47" s="43"/>
      <c r="O47" s="43"/>
      <c r="P47" s="43"/>
    </row>
    <row r="48" spans="2:16" ht="14.25" customHeight="1">
      <c r="B48" s="41"/>
      <c r="C48" s="117"/>
      <c r="D48" s="93"/>
      <c r="E48" s="93"/>
      <c r="F48" s="93"/>
      <c r="G48" s="93"/>
      <c r="H48" s="93"/>
      <c r="I48" s="93"/>
      <c r="J48" s="93"/>
      <c r="K48" s="94"/>
      <c r="M48" s="43"/>
      <c r="N48" s="43"/>
      <c r="O48" s="43"/>
      <c r="P48" s="43"/>
    </row>
    <row r="49" spans="2:16" ht="14.25" customHeight="1">
      <c r="B49" s="35"/>
      <c r="C49" s="117"/>
      <c r="D49" s="93"/>
      <c r="E49" s="93"/>
      <c r="F49" s="93"/>
      <c r="G49" s="93"/>
      <c r="H49" s="93"/>
      <c r="I49" s="93"/>
      <c r="J49" s="93"/>
      <c r="K49" s="94"/>
      <c r="L49" s="42"/>
      <c r="M49" s="43"/>
      <c r="N49" s="43"/>
      <c r="O49" s="43"/>
      <c r="P49" s="43"/>
    </row>
    <row r="50" spans="2:16" ht="15.75" customHeight="1">
      <c r="B50" s="41"/>
      <c r="C50" s="117"/>
      <c r="D50" s="93"/>
      <c r="E50" s="93"/>
      <c r="F50" s="93"/>
      <c r="G50" s="93"/>
      <c r="H50" s="93"/>
      <c r="I50" s="93"/>
      <c r="J50" s="93"/>
      <c r="K50" s="94"/>
      <c r="L50" s="44"/>
      <c r="M50" s="43"/>
      <c r="N50" s="43"/>
      <c r="O50" s="43"/>
      <c r="P50" s="43"/>
    </row>
    <row r="51" spans="2:16" ht="15.75" customHeight="1">
      <c r="B51" s="41"/>
      <c r="C51" s="117"/>
      <c r="D51" s="93"/>
      <c r="E51" s="93"/>
      <c r="F51" s="93"/>
      <c r="G51" s="93"/>
      <c r="H51" s="93"/>
      <c r="I51" s="93"/>
      <c r="J51" s="93"/>
      <c r="K51" s="94"/>
      <c r="M51" s="43"/>
      <c r="N51" s="43"/>
      <c r="O51" s="43"/>
      <c r="P51" s="43"/>
    </row>
    <row r="52" spans="2:16" ht="15.75" customHeight="1">
      <c r="B52" s="35"/>
      <c r="C52" s="117"/>
      <c r="D52" s="93"/>
      <c r="E52" s="93"/>
      <c r="F52" s="93"/>
      <c r="G52" s="93"/>
      <c r="H52" s="93"/>
      <c r="I52" s="93"/>
      <c r="J52" s="93"/>
      <c r="K52" s="94"/>
      <c r="M52" s="43"/>
      <c r="N52" s="43"/>
      <c r="O52" s="43"/>
      <c r="P52" s="43"/>
    </row>
    <row r="53" spans="2:16" ht="14.25" customHeight="1"/>
    <row r="54" spans="2:16" ht="14.25" customHeight="1"/>
    <row r="55" spans="2:16" ht="14.25" customHeight="1"/>
    <row r="56" spans="2:16" ht="14.25" customHeight="1"/>
    <row r="57" spans="2:16" ht="14.25" customHeight="1"/>
    <row r="58" spans="2:16" ht="14.25" customHeight="1"/>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9">
    <mergeCell ref="C2:G2"/>
    <mergeCell ref="C3:G3"/>
    <mergeCell ref="C4:G4"/>
    <mergeCell ref="B5:C5"/>
    <mergeCell ref="M8:O8"/>
    <mergeCell ref="P8:P9"/>
    <mergeCell ref="D9:I9"/>
    <mergeCell ref="C11:E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51:K51"/>
    <mergeCell ref="C52:K52"/>
    <mergeCell ref="C39:K39"/>
    <mergeCell ref="C40:K40"/>
    <mergeCell ref="C41:K41"/>
    <mergeCell ref="C42:K42"/>
    <mergeCell ref="C43:K43"/>
    <mergeCell ref="C44:K44"/>
    <mergeCell ref="C45:K45"/>
    <mergeCell ref="C46:K46"/>
    <mergeCell ref="C47:K47"/>
    <mergeCell ref="C48:K48"/>
    <mergeCell ref="C49:K49"/>
    <mergeCell ref="C50:K50"/>
  </mergeCells>
  <hyperlinks>
    <hyperlink ref="V2" location="'REQ. NO FUN. GEN'!A1" display="Volver"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V998"/>
  <sheetViews>
    <sheetView topLeftCell="A10" workbookViewId="0">
      <selection activeCell="N27" sqref="N27"/>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36"/>
      <c r="D9" s="125" t="s">
        <v>224</v>
      </c>
      <c r="E9" s="99"/>
      <c r="F9" s="99"/>
      <c r="G9" s="99"/>
      <c r="H9" s="99"/>
      <c r="I9" s="100"/>
      <c r="J9" s="36"/>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t="s">
        <v>225</v>
      </c>
      <c r="D12" s="93"/>
      <c r="E12" s="93"/>
      <c r="F12" s="93"/>
      <c r="G12" s="93"/>
      <c r="H12" s="93"/>
      <c r="I12" s="93"/>
      <c r="J12" s="93"/>
      <c r="K12" s="94"/>
      <c r="L12" s="42"/>
      <c r="M12" s="43" t="s">
        <v>46</v>
      </c>
      <c r="N12" s="43"/>
      <c r="O12" s="43"/>
      <c r="P12" s="43"/>
      <c r="R12" s="53"/>
    </row>
    <row r="13" spans="2:22" ht="14.25" customHeight="1">
      <c r="B13" s="41">
        <v>2</v>
      </c>
      <c r="C13" s="117" t="s">
        <v>226</v>
      </c>
      <c r="D13" s="93"/>
      <c r="E13" s="93"/>
      <c r="F13" s="93"/>
      <c r="G13" s="93"/>
      <c r="H13" s="93"/>
      <c r="I13" s="93"/>
      <c r="J13" s="93"/>
      <c r="K13" s="94"/>
      <c r="M13" s="43" t="s">
        <v>46</v>
      </c>
      <c r="N13" s="43"/>
      <c r="O13" s="43"/>
      <c r="P13" s="43"/>
      <c r="R13" s="53"/>
    </row>
    <row r="14" spans="2:22" ht="14.25" customHeight="1">
      <c r="B14" s="41">
        <v>3</v>
      </c>
      <c r="C14" s="117" t="s">
        <v>227</v>
      </c>
      <c r="D14" s="93"/>
      <c r="E14" s="93"/>
      <c r="F14" s="93"/>
      <c r="G14" s="93"/>
      <c r="H14" s="93"/>
      <c r="I14" s="93"/>
      <c r="J14" s="93"/>
      <c r="K14" s="94"/>
      <c r="M14" s="43" t="s">
        <v>46</v>
      </c>
      <c r="N14" s="43"/>
      <c r="O14" s="43"/>
      <c r="P14" s="43"/>
    </row>
    <row r="15" spans="2:22" ht="14.25" customHeight="1">
      <c r="B15" s="41">
        <v>4</v>
      </c>
      <c r="C15" s="117" t="s">
        <v>228</v>
      </c>
      <c r="D15" s="93"/>
      <c r="E15" s="93"/>
      <c r="F15" s="93"/>
      <c r="G15" s="93"/>
      <c r="H15" s="93"/>
      <c r="I15" s="93"/>
      <c r="J15" s="93"/>
      <c r="K15" s="94"/>
      <c r="L15" s="42"/>
      <c r="M15" s="43" t="s">
        <v>46</v>
      </c>
      <c r="N15" s="43"/>
      <c r="O15" s="43"/>
      <c r="P15" s="43"/>
    </row>
    <row r="16" spans="2:22" ht="14.25" customHeight="1">
      <c r="B16" s="41">
        <v>5</v>
      </c>
      <c r="C16" s="117" t="s">
        <v>229</v>
      </c>
      <c r="D16" s="93"/>
      <c r="E16" s="93"/>
      <c r="F16" s="93"/>
      <c r="G16" s="93"/>
      <c r="H16" s="93"/>
      <c r="I16" s="93"/>
      <c r="J16" s="93"/>
      <c r="K16" s="94"/>
      <c r="L16" s="44"/>
      <c r="M16" s="43" t="s">
        <v>46</v>
      </c>
      <c r="N16" s="43"/>
      <c r="O16" s="43"/>
      <c r="P16" s="43"/>
    </row>
    <row r="17" spans="2:18" ht="14.25" customHeight="1">
      <c r="B17" s="41">
        <v>6</v>
      </c>
      <c r="C17" s="117" t="s">
        <v>673</v>
      </c>
      <c r="D17" s="93"/>
      <c r="E17" s="93"/>
      <c r="F17" s="93"/>
      <c r="G17" s="93"/>
      <c r="H17" s="93"/>
      <c r="I17" s="93"/>
      <c r="J17" s="93"/>
      <c r="K17" s="94"/>
      <c r="M17" s="43" t="s">
        <v>46</v>
      </c>
      <c r="N17" s="43"/>
      <c r="O17" s="43"/>
      <c r="P17" s="43"/>
    </row>
    <row r="18" spans="2:18" ht="14.25" customHeight="1">
      <c r="B18" s="41">
        <v>7</v>
      </c>
      <c r="C18" s="117" t="s">
        <v>230</v>
      </c>
      <c r="D18" s="93"/>
      <c r="E18" s="93"/>
      <c r="F18" s="93"/>
      <c r="G18" s="93"/>
      <c r="H18" s="93"/>
      <c r="I18" s="93"/>
      <c r="J18" s="93"/>
      <c r="K18" s="94"/>
      <c r="M18" s="43" t="s">
        <v>46</v>
      </c>
      <c r="N18" s="43"/>
      <c r="O18" s="43"/>
      <c r="P18" s="43"/>
    </row>
    <row r="19" spans="2:18" ht="14.25" customHeight="1">
      <c r="B19" s="41">
        <v>8</v>
      </c>
      <c r="C19" s="117" t="s">
        <v>231</v>
      </c>
      <c r="D19" s="93"/>
      <c r="E19" s="93"/>
      <c r="F19" s="93"/>
      <c r="G19" s="93"/>
      <c r="H19" s="93"/>
      <c r="I19" s="93"/>
      <c r="J19" s="93"/>
      <c r="K19" s="94"/>
      <c r="L19" s="42"/>
      <c r="M19" s="43" t="s">
        <v>46</v>
      </c>
      <c r="N19" s="43"/>
      <c r="O19" s="43"/>
      <c r="P19" s="43"/>
    </row>
    <row r="20" spans="2:18" ht="14.25" customHeight="1">
      <c r="B20" s="41">
        <v>9</v>
      </c>
      <c r="C20" s="117" t="s">
        <v>232</v>
      </c>
      <c r="D20" s="93"/>
      <c r="E20" s="93"/>
      <c r="F20" s="93"/>
      <c r="G20" s="93"/>
      <c r="H20" s="93"/>
      <c r="I20" s="93"/>
      <c r="J20" s="93"/>
      <c r="K20" s="94"/>
      <c r="L20" s="46"/>
      <c r="M20" s="43" t="s">
        <v>46</v>
      </c>
      <c r="N20" s="43"/>
      <c r="O20" s="43"/>
      <c r="P20" s="43"/>
    </row>
    <row r="21" spans="2:18" ht="14.25" customHeight="1">
      <c r="B21" s="41">
        <v>10</v>
      </c>
      <c r="C21" s="117" t="s">
        <v>233</v>
      </c>
      <c r="D21" s="93"/>
      <c r="E21" s="93"/>
      <c r="F21" s="93"/>
      <c r="G21" s="93"/>
      <c r="H21" s="93"/>
      <c r="I21" s="93"/>
      <c r="J21" s="93"/>
      <c r="K21" s="94"/>
      <c r="L21" s="46"/>
      <c r="M21" s="43" t="s">
        <v>46</v>
      </c>
      <c r="N21" s="43"/>
      <c r="O21" s="43"/>
      <c r="P21" s="43"/>
    </row>
    <row r="22" spans="2:18" ht="14.25" customHeight="1">
      <c r="B22" s="41">
        <v>11</v>
      </c>
      <c r="C22" s="117" t="s">
        <v>234</v>
      </c>
      <c r="D22" s="93"/>
      <c r="E22" s="93"/>
      <c r="F22" s="93"/>
      <c r="G22" s="93"/>
      <c r="H22" s="93"/>
      <c r="I22" s="93"/>
      <c r="J22" s="93"/>
      <c r="K22" s="94"/>
      <c r="L22" s="46"/>
      <c r="M22" s="43" t="s">
        <v>46</v>
      </c>
      <c r="N22" s="43"/>
      <c r="O22" s="43"/>
      <c r="P22" s="43"/>
    </row>
    <row r="23" spans="2:18" ht="14.25" customHeight="1">
      <c r="B23" s="41">
        <v>12</v>
      </c>
      <c r="C23" s="117" t="s">
        <v>235</v>
      </c>
      <c r="D23" s="93"/>
      <c r="E23" s="93"/>
      <c r="F23" s="93"/>
      <c r="G23" s="93"/>
      <c r="H23" s="93"/>
      <c r="I23" s="93"/>
      <c r="J23" s="93"/>
      <c r="K23" s="94"/>
      <c r="L23" s="46"/>
      <c r="M23" s="43"/>
      <c r="N23" s="43" t="s">
        <v>46</v>
      </c>
      <c r="O23" s="43"/>
      <c r="P23" s="43"/>
    </row>
    <row r="24" spans="2:18" ht="14.25" customHeight="1">
      <c r="B24" s="41">
        <v>14</v>
      </c>
      <c r="C24" s="117" t="s">
        <v>236</v>
      </c>
      <c r="D24" s="93"/>
      <c r="E24" s="93"/>
      <c r="F24" s="93"/>
      <c r="G24" s="93"/>
      <c r="H24" s="93"/>
      <c r="I24" s="93"/>
      <c r="J24" s="93"/>
      <c r="K24" s="94"/>
      <c r="L24" s="46"/>
      <c r="M24" s="43" t="s">
        <v>46</v>
      </c>
      <c r="N24" s="43"/>
      <c r="O24" s="43"/>
      <c r="P24" s="43"/>
    </row>
    <row r="25" spans="2:18" ht="14.25" customHeight="1">
      <c r="B25" s="41">
        <v>15</v>
      </c>
      <c r="C25" s="117" t="s">
        <v>237</v>
      </c>
      <c r="D25" s="93"/>
      <c r="E25" s="93"/>
      <c r="F25" s="93"/>
      <c r="G25" s="93"/>
      <c r="H25" s="93"/>
      <c r="I25" s="93"/>
      <c r="J25" s="93"/>
      <c r="K25" s="94"/>
      <c r="L25" s="46"/>
      <c r="M25" s="43" t="s">
        <v>46</v>
      </c>
      <c r="N25" s="43"/>
      <c r="O25" s="43"/>
      <c r="P25" s="43"/>
    </row>
    <row r="26" spans="2:18" ht="14.25" customHeight="1">
      <c r="B26" s="41">
        <v>16</v>
      </c>
      <c r="C26" s="117" t="s">
        <v>238</v>
      </c>
      <c r="D26" s="93"/>
      <c r="E26" s="93"/>
      <c r="F26" s="93"/>
      <c r="G26" s="93"/>
      <c r="H26" s="93"/>
      <c r="I26" s="93"/>
      <c r="J26" s="93"/>
      <c r="K26" s="94"/>
      <c r="L26" s="46"/>
      <c r="M26" s="43"/>
      <c r="N26" s="43" t="s">
        <v>46</v>
      </c>
      <c r="O26" s="43"/>
      <c r="P26" s="43"/>
    </row>
    <row r="27" spans="2:18" ht="14.25" customHeight="1">
      <c r="B27" s="41">
        <v>17</v>
      </c>
      <c r="C27" s="117" t="s">
        <v>239</v>
      </c>
      <c r="D27" s="93"/>
      <c r="E27" s="93"/>
      <c r="F27" s="93"/>
      <c r="G27" s="93"/>
      <c r="H27" s="93"/>
      <c r="I27" s="93"/>
      <c r="J27" s="93"/>
      <c r="K27" s="94"/>
      <c r="L27" s="46"/>
      <c r="M27" s="43" t="s">
        <v>46</v>
      </c>
      <c r="N27" s="43"/>
      <c r="O27" s="43"/>
      <c r="P27" s="43"/>
    </row>
    <row r="28" spans="2:18" ht="14.25" customHeight="1">
      <c r="B28" s="41">
        <v>18</v>
      </c>
      <c r="C28" s="117" t="s">
        <v>240</v>
      </c>
      <c r="D28" s="93"/>
      <c r="E28" s="93"/>
      <c r="F28" s="93"/>
      <c r="G28" s="93"/>
      <c r="H28" s="93"/>
      <c r="I28" s="93"/>
      <c r="J28" s="93"/>
      <c r="K28" s="94"/>
      <c r="L28" s="46"/>
      <c r="M28" s="43" t="s">
        <v>46</v>
      </c>
      <c r="N28" s="43"/>
      <c r="O28" s="43"/>
      <c r="P28" s="43"/>
    </row>
    <row r="29" spans="2:18" ht="14.25" customHeight="1">
      <c r="B29" s="41">
        <v>19</v>
      </c>
      <c r="C29" s="117" t="s">
        <v>241</v>
      </c>
      <c r="D29" s="93"/>
      <c r="E29" s="93"/>
      <c r="F29" s="93"/>
      <c r="G29" s="93"/>
      <c r="H29" s="93"/>
      <c r="I29" s="93"/>
      <c r="J29" s="93"/>
      <c r="K29" s="94"/>
      <c r="L29" s="46"/>
      <c r="M29" s="43" t="s">
        <v>46</v>
      </c>
      <c r="N29" s="43"/>
      <c r="O29" s="43"/>
      <c r="P29" s="43"/>
    </row>
    <row r="30" spans="2:18" ht="14.25" customHeight="1">
      <c r="B30" s="41">
        <v>20</v>
      </c>
      <c r="C30" s="117" t="s">
        <v>770</v>
      </c>
      <c r="D30" s="93"/>
      <c r="E30" s="93"/>
      <c r="F30" s="93"/>
      <c r="G30" s="93"/>
      <c r="H30" s="93"/>
      <c r="I30" s="93"/>
      <c r="J30" s="93"/>
      <c r="K30" s="94"/>
      <c r="L30" s="46"/>
      <c r="M30" s="43" t="s">
        <v>46</v>
      </c>
      <c r="N30" s="43"/>
      <c r="O30" s="43"/>
      <c r="P30" s="43"/>
      <c r="R30" s="47"/>
    </row>
    <row r="31" spans="2:18" ht="14.25" customHeight="1">
      <c r="B31" s="41">
        <v>21</v>
      </c>
      <c r="C31" s="117" t="s">
        <v>242</v>
      </c>
      <c r="D31" s="93"/>
      <c r="E31" s="93"/>
      <c r="F31" s="93"/>
      <c r="G31" s="93"/>
      <c r="H31" s="93"/>
      <c r="I31" s="93"/>
      <c r="J31" s="93"/>
      <c r="K31" s="94"/>
      <c r="L31" s="46"/>
      <c r="M31" s="43" t="s">
        <v>46</v>
      </c>
      <c r="N31" s="43"/>
      <c r="O31" s="43"/>
      <c r="P31" s="43"/>
    </row>
    <row r="32" spans="2:18" ht="14.25" customHeight="1">
      <c r="B32" s="41">
        <v>22</v>
      </c>
      <c r="C32" s="117" t="s">
        <v>243</v>
      </c>
      <c r="D32" s="93"/>
      <c r="E32" s="93"/>
      <c r="F32" s="93"/>
      <c r="G32" s="93"/>
      <c r="H32" s="93"/>
      <c r="I32" s="93"/>
      <c r="J32" s="93"/>
      <c r="K32" s="94"/>
      <c r="L32" s="46"/>
      <c r="M32" s="43" t="s">
        <v>46</v>
      </c>
      <c r="N32" s="43"/>
      <c r="O32" s="43"/>
      <c r="P32" s="43"/>
    </row>
    <row r="33" spans="2:18" ht="14.25" customHeight="1">
      <c r="B33" s="41">
        <v>23</v>
      </c>
      <c r="C33" s="117" t="s">
        <v>771</v>
      </c>
      <c r="D33" s="93"/>
      <c r="E33" s="93"/>
      <c r="F33" s="93"/>
      <c r="G33" s="93"/>
      <c r="H33" s="93"/>
      <c r="I33" s="93"/>
      <c r="J33" s="93"/>
      <c r="K33" s="94"/>
      <c r="L33" s="46"/>
      <c r="M33" s="43" t="s">
        <v>46</v>
      </c>
      <c r="N33" s="43"/>
      <c r="O33" s="43"/>
      <c r="P33" s="43"/>
    </row>
    <row r="34" spans="2:18" ht="14.25" customHeight="1">
      <c r="B34" s="41">
        <v>25</v>
      </c>
      <c r="C34" s="133" t="s">
        <v>244</v>
      </c>
      <c r="D34" s="93"/>
      <c r="E34" s="93"/>
      <c r="F34" s="93"/>
      <c r="G34" s="93"/>
      <c r="H34" s="93"/>
      <c r="I34" s="93"/>
      <c r="J34" s="93"/>
      <c r="K34" s="94"/>
      <c r="L34" s="46"/>
      <c r="M34" s="43" t="s">
        <v>46</v>
      </c>
      <c r="N34" s="43"/>
      <c r="O34" s="43"/>
      <c r="P34" s="43"/>
    </row>
    <row r="35" spans="2:18" ht="14.25" customHeight="1">
      <c r="B35" s="41">
        <v>26</v>
      </c>
      <c r="C35" s="117" t="s">
        <v>245</v>
      </c>
      <c r="D35" s="93"/>
      <c r="E35" s="93"/>
      <c r="F35" s="93"/>
      <c r="G35" s="93"/>
      <c r="H35" s="93"/>
      <c r="I35" s="93"/>
      <c r="J35" s="93"/>
      <c r="K35" s="94"/>
      <c r="L35" s="46"/>
      <c r="M35" s="43" t="s">
        <v>46</v>
      </c>
      <c r="N35" s="43"/>
      <c r="O35" s="43"/>
      <c r="P35" s="43"/>
    </row>
    <row r="36" spans="2:18" ht="14.25" customHeight="1">
      <c r="B36" s="41">
        <v>27</v>
      </c>
      <c r="C36" s="117" t="s">
        <v>246</v>
      </c>
      <c r="D36" s="93"/>
      <c r="E36" s="93"/>
      <c r="F36" s="93"/>
      <c r="G36" s="93"/>
      <c r="H36" s="93"/>
      <c r="I36" s="93"/>
      <c r="J36" s="93"/>
      <c r="K36" s="94"/>
      <c r="L36" s="46"/>
      <c r="M36" s="43" t="s">
        <v>46</v>
      </c>
      <c r="N36" s="43"/>
      <c r="O36" s="43"/>
      <c r="P36" s="43"/>
    </row>
    <row r="37" spans="2:18" ht="14.25" customHeight="1">
      <c r="B37" s="41">
        <v>28</v>
      </c>
      <c r="C37" s="117" t="s">
        <v>247</v>
      </c>
      <c r="D37" s="93"/>
      <c r="E37" s="93"/>
      <c r="F37" s="93"/>
      <c r="G37" s="93"/>
      <c r="H37" s="93"/>
      <c r="I37" s="93"/>
      <c r="J37" s="93"/>
      <c r="K37" s="94"/>
      <c r="L37" s="44"/>
      <c r="M37" s="43" t="s">
        <v>46</v>
      </c>
      <c r="N37" s="43"/>
      <c r="O37" s="43"/>
      <c r="P37" s="43"/>
    </row>
    <row r="38" spans="2:18" ht="34.5" customHeight="1">
      <c r="B38" s="41">
        <v>29</v>
      </c>
      <c r="C38" s="117" t="s">
        <v>248</v>
      </c>
      <c r="D38" s="93"/>
      <c r="E38" s="93"/>
      <c r="F38" s="93"/>
      <c r="G38" s="93"/>
      <c r="H38" s="93"/>
      <c r="I38" s="93"/>
      <c r="J38" s="93"/>
      <c r="K38" s="94"/>
      <c r="M38" s="43" t="s">
        <v>46</v>
      </c>
      <c r="N38" s="43"/>
      <c r="O38" s="43"/>
      <c r="P38" s="43"/>
      <c r="R38" s="47"/>
    </row>
    <row r="39" spans="2:18" ht="14.25" customHeight="1">
      <c r="B39" s="41">
        <v>30</v>
      </c>
      <c r="C39" s="117" t="s">
        <v>249</v>
      </c>
      <c r="D39" s="93"/>
      <c r="E39" s="93"/>
      <c r="F39" s="93"/>
      <c r="G39" s="93"/>
      <c r="H39" s="93"/>
      <c r="I39" s="93"/>
      <c r="J39" s="93"/>
      <c r="K39" s="94"/>
      <c r="M39" s="43" t="s">
        <v>46</v>
      </c>
      <c r="N39" s="43"/>
      <c r="O39" s="43"/>
      <c r="P39" s="43"/>
    </row>
    <row r="40" spans="2:18" ht="14.25" customHeight="1">
      <c r="B40" s="41">
        <v>31</v>
      </c>
      <c r="C40" s="117" t="s">
        <v>250</v>
      </c>
      <c r="D40" s="93"/>
      <c r="E40" s="93"/>
      <c r="F40" s="93"/>
      <c r="G40" s="93"/>
      <c r="H40" s="93"/>
      <c r="I40" s="93"/>
      <c r="J40" s="93"/>
      <c r="K40" s="94"/>
      <c r="L40" s="42"/>
      <c r="M40" s="43" t="s">
        <v>46</v>
      </c>
      <c r="N40" s="43"/>
      <c r="O40" s="43"/>
      <c r="P40" s="43"/>
    </row>
    <row r="41" spans="2:18" ht="15.75" customHeight="1">
      <c r="B41" s="41">
        <v>32</v>
      </c>
      <c r="C41" s="117" t="s">
        <v>251</v>
      </c>
      <c r="D41" s="93"/>
      <c r="E41" s="93"/>
      <c r="F41" s="93"/>
      <c r="G41" s="93"/>
      <c r="H41" s="93"/>
      <c r="I41" s="93"/>
      <c r="J41" s="93"/>
      <c r="K41" s="94"/>
      <c r="L41" s="44"/>
      <c r="M41" s="43" t="s">
        <v>46</v>
      </c>
      <c r="N41" s="43"/>
      <c r="O41" s="43"/>
      <c r="P41" s="43"/>
    </row>
    <row r="42" spans="2:18" ht="14.25" customHeight="1">
      <c r="B42" s="41"/>
      <c r="C42" s="117"/>
      <c r="D42" s="93"/>
      <c r="E42" s="93"/>
      <c r="F42" s="93"/>
      <c r="G42" s="93"/>
      <c r="H42" s="93"/>
      <c r="I42" s="93"/>
      <c r="J42" s="93"/>
      <c r="K42" s="94"/>
      <c r="M42" s="43"/>
      <c r="N42" s="43"/>
      <c r="O42" s="43"/>
      <c r="P42" s="43"/>
    </row>
    <row r="43" spans="2:18" ht="14.25" customHeight="1">
      <c r="B43" s="35"/>
      <c r="C43" s="117"/>
      <c r="D43" s="93"/>
      <c r="E43" s="93"/>
      <c r="F43" s="93"/>
      <c r="G43" s="93"/>
      <c r="H43" s="93"/>
      <c r="I43" s="93"/>
      <c r="J43" s="93"/>
      <c r="K43" s="94"/>
      <c r="M43" s="43"/>
      <c r="N43" s="43"/>
      <c r="O43" s="43"/>
      <c r="P43" s="43"/>
    </row>
    <row r="44" spans="2:18" ht="14.25" customHeight="1">
      <c r="B44" s="41"/>
      <c r="C44" s="117"/>
      <c r="D44" s="93"/>
      <c r="E44" s="93"/>
      <c r="F44" s="93"/>
      <c r="G44" s="93"/>
      <c r="H44" s="93"/>
      <c r="I44" s="93"/>
      <c r="J44" s="93"/>
      <c r="K44" s="94"/>
      <c r="L44" s="42"/>
      <c r="M44" s="43"/>
      <c r="N44" s="43"/>
      <c r="O44" s="43"/>
      <c r="P44" s="43"/>
    </row>
    <row r="45" spans="2:18" ht="14.25" customHeight="1">
      <c r="B45" s="41"/>
      <c r="C45" s="117"/>
      <c r="D45" s="93"/>
      <c r="E45" s="93"/>
      <c r="F45" s="93"/>
      <c r="G45" s="93"/>
      <c r="H45" s="93"/>
      <c r="I45" s="93"/>
      <c r="J45" s="93"/>
      <c r="K45" s="94"/>
      <c r="L45" s="44"/>
      <c r="M45" s="43"/>
      <c r="N45" s="43"/>
      <c r="O45" s="43"/>
      <c r="P45" s="43"/>
    </row>
    <row r="46" spans="2:18" ht="14.25" customHeight="1">
      <c r="B46" s="41"/>
      <c r="C46" s="117"/>
      <c r="D46" s="93"/>
      <c r="E46" s="93"/>
      <c r="F46" s="93"/>
      <c r="G46" s="93"/>
      <c r="H46" s="93"/>
      <c r="I46" s="93"/>
      <c r="J46" s="93"/>
      <c r="K46" s="94"/>
      <c r="M46" s="43"/>
      <c r="N46" s="43"/>
      <c r="O46" s="43"/>
      <c r="P46" s="43"/>
    </row>
    <row r="47" spans="2:18" ht="14.25" customHeight="1">
      <c r="B47" s="35"/>
      <c r="C47" s="117"/>
      <c r="D47" s="93"/>
      <c r="E47" s="93"/>
      <c r="F47" s="93"/>
      <c r="G47" s="93"/>
      <c r="H47" s="93"/>
      <c r="I47" s="93"/>
      <c r="J47" s="93"/>
      <c r="K47" s="94"/>
      <c r="M47" s="43"/>
      <c r="N47" s="43"/>
      <c r="O47" s="43"/>
      <c r="P47" s="43"/>
    </row>
    <row r="48" spans="2:18" ht="14.25" customHeight="1">
      <c r="B48" s="41"/>
      <c r="C48" s="117"/>
      <c r="D48" s="93"/>
      <c r="E48" s="93"/>
      <c r="F48" s="93"/>
      <c r="G48" s="93"/>
      <c r="H48" s="93"/>
      <c r="I48" s="93"/>
      <c r="J48" s="93"/>
      <c r="K48" s="94"/>
      <c r="M48" s="43"/>
      <c r="N48" s="43"/>
      <c r="O48" s="43"/>
      <c r="P48" s="43"/>
    </row>
    <row r="49" spans="2:16" ht="14.25" customHeight="1">
      <c r="B49" s="41"/>
      <c r="C49" s="117"/>
      <c r="D49" s="93"/>
      <c r="E49" s="93"/>
      <c r="F49" s="93"/>
      <c r="G49" s="93"/>
      <c r="H49" s="93"/>
      <c r="I49" s="93"/>
      <c r="J49" s="93"/>
      <c r="K49" s="94"/>
      <c r="M49" s="43"/>
      <c r="N49" s="43"/>
      <c r="O49" s="43"/>
      <c r="P49" s="43"/>
    </row>
    <row r="50" spans="2:16" ht="14.25" customHeight="1">
      <c r="B50" s="35"/>
      <c r="C50" s="117"/>
      <c r="D50" s="93"/>
      <c r="E50" s="93"/>
      <c r="F50" s="93"/>
      <c r="G50" s="93"/>
      <c r="H50" s="93"/>
      <c r="I50" s="93"/>
      <c r="J50" s="93"/>
      <c r="K50" s="94"/>
      <c r="M50" s="43"/>
      <c r="N50" s="43"/>
      <c r="O50" s="43"/>
      <c r="P50" s="43"/>
    </row>
    <row r="51" spans="2:16" ht="14.25" customHeight="1">
      <c r="B51" s="41"/>
      <c r="C51" s="117"/>
      <c r="D51" s="93"/>
      <c r="E51" s="93"/>
      <c r="F51" s="93"/>
      <c r="G51" s="93"/>
      <c r="H51" s="93"/>
      <c r="I51" s="93"/>
      <c r="J51" s="93"/>
      <c r="K51" s="94"/>
      <c r="M51" s="43"/>
      <c r="N51" s="43"/>
      <c r="O51" s="43"/>
      <c r="P51" s="43"/>
    </row>
    <row r="52" spans="2:16" ht="14.25" customHeight="1">
      <c r="B52" s="41"/>
      <c r="C52" s="117"/>
      <c r="D52" s="93"/>
      <c r="E52" s="93"/>
      <c r="F52" s="93"/>
      <c r="G52" s="93"/>
      <c r="H52" s="93"/>
      <c r="I52" s="93"/>
      <c r="J52" s="93"/>
      <c r="K52" s="94"/>
      <c r="M52" s="43"/>
      <c r="N52" s="43"/>
      <c r="O52" s="43"/>
      <c r="P52" s="43"/>
    </row>
    <row r="53" spans="2:16" ht="14.25" customHeight="1">
      <c r="B53" s="35"/>
      <c r="C53" s="117"/>
      <c r="D53" s="93"/>
      <c r="E53" s="93"/>
      <c r="F53" s="93"/>
      <c r="G53" s="93"/>
      <c r="H53" s="93"/>
      <c r="I53" s="93"/>
      <c r="J53" s="93"/>
      <c r="K53" s="94"/>
      <c r="M53" s="43"/>
      <c r="N53" s="43"/>
      <c r="O53" s="43"/>
      <c r="P53" s="43"/>
    </row>
    <row r="54" spans="2:16" ht="14.25" customHeight="1">
      <c r="B54" s="41"/>
      <c r="C54" s="117"/>
      <c r="D54" s="93"/>
      <c r="E54" s="93"/>
      <c r="F54" s="93"/>
      <c r="G54" s="93"/>
      <c r="H54" s="93"/>
      <c r="I54" s="93"/>
      <c r="J54" s="93"/>
      <c r="K54" s="94"/>
      <c r="M54" s="43"/>
      <c r="N54" s="43"/>
      <c r="O54" s="43"/>
      <c r="P54" s="43"/>
    </row>
    <row r="55" spans="2:16" ht="14.25" customHeight="1">
      <c r="B55" s="41"/>
      <c r="C55" s="117"/>
      <c r="D55" s="93"/>
      <c r="E55" s="93"/>
      <c r="F55" s="93"/>
      <c r="G55" s="93"/>
      <c r="H55" s="93"/>
      <c r="I55" s="93"/>
      <c r="J55" s="93"/>
      <c r="K55" s="94"/>
      <c r="M55" s="43"/>
      <c r="N55" s="43"/>
      <c r="O55" s="43"/>
      <c r="P55" s="43"/>
    </row>
    <row r="56" spans="2:16" ht="14.25" customHeight="1"/>
    <row r="57" spans="2:16" ht="14.25" customHeight="1"/>
    <row r="58" spans="2:16" ht="14.25" customHeight="1"/>
    <row r="59" spans="2:16" ht="14.25" customHeight="1"/>
    <row r="60" spans="2:16" ht="14.25" customHeight="1"/>
    <row r="61" spans="2:16" ht="14.25" customHeight="1"/>
    <row r="62" spans="2:16" ht="14.25" customHeight="1"/>
    <row r="63" spans="2:16" ht="14.25" customHeight="1">
      <c r="C63" s="46"/>
      <c r="D63" s="46"/>
      <c r="E63" s="46"/>
      <c r="F63" s="46"/>
      <c r="G63" s="46"/>
      <c r="H63" s="46"/>
      <c r="I63" s="46"/>
      <c r="J63" s="46"/>
      <c r="K63" s="46"/>
    </row>
    <row r="64" spans="2:16" ht="14.25" customHeight="1">
      <c r="C64" s="46"/>
      <c r="D64" s="46"/>
      <c r="E64" s="46"/>
      <c r="F64" s="46"/>
      <c r="G64" s="46"/>
      <c r="H64" s="46"/>
      <c r="I64" s="46"/>
      <c r="J64" s="46"/>
      <c r="K64" s="46"/>
    </row>
    <row r="65" spans="3:11" ht="14.25" customHeight="1">
      <c r="C65" s="46"/>
      <c r="D65" s="46"/>
      <c r="E65" s="46"/>
      <c r="F65" s="46"/>
      <c r="G65" s="46"/>
      <c r="H65" s="46"/>
      <c r="I65" s="46"/>
      <c r="J65" s="46"/>
      <c r="K65" s="46"/>
    </row>
    <row r="66" spans="3:11" ht="14.25" customHeight="1"/>
    <row r="67" spans="3:11" ht="14.25" customHeight="1"/>
    <row r="68" spans="3:11" ht="14.25" customHeight="1"/>
    <row r="69" spans="3:11" ht="14.25" customHeight="1"/>
    <row r="70" spans="3:11" ht="14.25" customHeight="1"/>
    <row r="71" spans="3:11" ht="14.25" customHeight="1"/>
    <row r="72" spans="3:11" ht="14.25" customHeight="1"/>
    <row r="73" spans="3:11" ht="14.25" customHeight="1"/>
    <row r="74" spans="3:11" ht="14.25" customHeight="1"/>
    <row r="75" spans="3:11" ht="14.25" customHeight="1"/>
    <row r="76" spans="3:11" ht="14.25" customHeight="1"/>
    <row r="77" spans="3:11" ht="14.25" customHeight="1"/>
    <row r="78" spans="3:11" ht="14.25" customHeight="1"/>
    <row r="79" spans="3:11" ht="14.25" customHeight="1"/>
    <row r="80" spans="3:11"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52">
    <mergeCell ref="C2:G2"/>
    <mergeCell ref="C3:G3"/>
    <mergeCell ref="C4:G4"/>
    <mergeCell ref="B5:C5"/>
    <mergeCell ref="M8:O8"/>
    <mergeCell ref="P8:P9"/>
    <mergeCell ref="D9:I9"/>
    <mergeCell ref="C11:E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51:K51"/>
    <mergeCell ref="C52:K52"/>
    <mergeCell ref="C53:K53"/>
    <mergeCell ref="C54:K54"/>
    <mergeCell ref="C55:K55"/>
    <mergeCell ref="C49:K49"/>
    <mergeCell ref="C50:K50"/>
    <mergeCell ref="C44:K44"/>
    <mergeCell ref="C45:K45"/>
    <mergeCell ref="C46:K46"/>
    <mergeCell ref="C47:K47"/>
    <mergeCell ref="C48:K48"/>
  </mergeCells>
  <hyperlinks>
    <hyperlink ref="V2" location="'REQ. FUN. GEN'!A1" display="Volver" xr:uid="{00000000-0004-0000-0A00-000000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V996"/>
  <sheetViews>
    <sheetView workbookViewId="0">
      <selection activeCell="C26" sqref="C26:K26"/>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c r="S8" s="53" t="s">
        <v>252</v>
      </c>
    </row>
    <row r="9" spans="2:22" ht="14.25" customHeight="1">
      <c r="B9" s="35"/>
      <c r="C9" s="36"/>
      <c r="D9" s="125" t="s">
        <v>253</v>
      </c>
      <c r="E9" s="99"/>
      <c r="F9" s="99"/>
      <c r="G9" s="99"/>
      <c r="H9" s="99"/>
      <c r="I9" s="100"/>
      <c r="J9" s="36"/>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t="s">
        <v>254</v>
      </c>
      <c r="D12" s="93"/>
      <c r="E12" s="93"/>
      <c r="F12" s="93"/>
      <c r="G12" s="93"/>
      <c r="H12" s="93"/>
      <c r="I12" s="93"/>
      <c r="J12" s="93"/>
      <c r="K12" s="94"/>
      <c r="L12" s="42"/>
      <c r="M12" s="43" t="s">
        <v>46</v>
      </c>
      <c r="N12" s="43"/>
      <c r="O12" s="43"/>
      <c r="P12" s="43"/>
    </row>
    <row r="13" spans="2:22" ht="14.25" customHeight="1">
      <c r="B13" s="35">
        <v>2</v>
      </c>
      <c r="C13" s="117" t="s">
        <v>255</v>
      </c>
      <c r="D13" s="93"/>
      <c r="E13" s="93"/>
      <c r="F13" s="93"/>
      <c r="G13" s="93"/>
      <c r="H13" s="93"/>
      <c r="I13" s="93"/>
      <c r="J13" s="93"/>
      <c r="K13" s="94"/>
      <c r="L13" s="44"/>
      <c r="M13" s="43" t="s">
        <v>46</v>
      </c>
      <c r="N13" s="43"/>
      <c r="O13" s="43"/>
      <c r="P13" s="43"/>
    </row>
    <row r="14" spans="2:22" ht="14.25" customHeight="1">
      <c r="B14" s="41">
        <v>3</v>
      </c>
      <c r="C14" s="117" t="s">
        <v>256</v>
      </c>
      <c r="D14" s="93"/>
      <c r="E14" s="93"/>
      <c r="F14" s="93"/>
      <c r="G14" s="93"/>
      <c r="H14" s="93"/>
      <c r="I14" s="93"/>
      <c r="J14" s="93"/>
      <c r="K14" s="94"/>
      <c r="M14" s="43" t="s">
        <v>46</v>
      </c>
      <c r="N14" s="43"/>
      <c r="O14" s="43"/>
      <c r="P14" s="43"/>
      <c r="R14" s="47" t="s">
        <v>257</v>
      </c>
    </row>
    <row r="15" spans="2:22" ht="14.25" customHeight="1">
      <c r="B15" s="41">
        <v>4</v>
      </c>
      <c r="C15" s="117" t="s">
        <v>258</v>
      </c>
      <c r="D15" s="93"/>
      <c r="E15" s="93"/>
      <c r="F15" s="93"/>
      <c r="G15" s="93"/>
      <c r="H15" s="93"/>
      <c r="I15" s="93"/>
      <c r="J15" s="93"/>
      <c r="K15" s="94"/>
      <c r="M15" s="43" t="s">
        <v>46</v>
      </c>
      <c r="N15" s="43"/>
      <c r="O15" s="43"/>
      <c r="P15" s="43"/>
    </row>
    <row r="16" spans="2:22" ht="14.25" customHeight="1">
      <c r="B16" s="35">
        <v>5</v>
      </c>
      <c r="C16" s="117" t="s">
        <v>215</v>
      </c>
      <c r="D16" s="93"/>
      <c r="E16" s="93"/>
      <c r="F16" s="93"/>
      <c r="G16" s="93"/>
      <c r="H16" s="93"/>
      <c r="I16" s="93"/>
      <c r="J16" s="93"/>
      <c r="K16" s="94"/>
      <c r="L16" s="42"/>
      <c r="M16" s="43" t="s">
        <v>46</v>
      </c>
      <c r="N16" s="43"/>
      <c r="O16" s="43"/>
      <c r="P16" s="43"/>
    </row>
    <row r="17" spans="2:18" ht="14.25" customHeight="1">
      <c r="B17" s="41">
        <v>6</v>
      </c>
      <c r="C17" s="117" t="s">
        <v>259</v>
      </c>
      <c r="D17" s="93"/>
      <c r="E17" s="93"/>
      <c r="F17" s="93"/>
      <c r="G17" s="93"/>
      <c r="H17" s="93"/>
      <c r="I17" s="93"/>
      <c r="J17" s="93"/>
      <c r="K17" s="94"/>
      <c r="L17" s="44"/>
      <c r="M17" s="43" t="s">
        <v>46</v>
      </c>
      <c r="N17" s="43"/>
      <c r="O17" s="43"/>
      <c r="P17" s="43"/>
    </row>
    <row r="18" spans="2:18" ht="14.25" customHeight="1">
      <c r="B18" s="41">
        <v>7</v>
      </c>
      <c r="C18" s="117" t="s">
        <v>260</v>
      </c>
      <c r="D18" s="93"/>
      <c r="E18" s="93"/>
      <c r="F18" s="93"/>
      <c r="G18" s="93"/>
      <c r="H18" s="93"/>
      <c r="I18" s="93"/>
      <c r="J18" s="93"/>
      <c r="K18" s="94"/>
      <c r="M18" s="43"/>
      <c r="N18" s="43" t="s">
        <v>46</v>
      </c>
      <c r="O18" s="43"/>
      <c r="P18" s="43"/>
    </row>
    <row r="19" spans="2:18" ht="14.25" customHeight="1">
      <c r="B19" s="35">
        <v>8</v>
      </c>
      <c r="C19" s="117" t="s">
        <v>261</v>
      </c>
      <c r="D19" s="93"/>
      <c r="E19" s="93"/>
      <c r="F19" s="93"/>
      <c r="G19" s="93"/>
      <c r="H19" s="93"/>
      <c r="I19" s="93"/>
      <c r="J19" s="93"/>
      <c r="K19" s="94"/>
      <c r="M19" s="43" t="s">
        <v>46</v>
      </c>
      <c r="N19" s="43"/>
      <c r="O19" s="43"/>
      <c r="P19" s="43"/>
    </row>
    <row r="20" spans="2:18" ht="14.25" customHeight="1">
      <c r="B20" s="41">
        <v>9</v>
      </c>
      <c r="C20" s="117" t="s">
        <v>262</v>
      </c>
      <c r="D20" s="93"/>
      <c r="E20" s="93"/>
      <c r="F20" s="93"/>
      <c r="G20" s="93"/>
      <c r="H20" s="93"/>
      <c r="I20" s="93"/>
      <c r="J20" s="93"/>
      <c r="K20" s="94"/>
      <c r="L20" s="42"/>
      <c r="M20" s="43" t="s">
        <v>46</v>
      </c>
      <c r="N20" s="43"/>
      <c r="O20" s="43"/>
      <c r="P20" s="43"/>
      <c r="R20" s="47" t="s">
        <v>263</v>
      </c>
    </row>
    <row r="21" spans="2:18" ht="14.25" customHeight="1">
      <c r="B21" s="41">
        <v>10</v>
      </c>
      <c r="C21" s="117" t="s">
        <v>264</v>
      </c>
      <c r="D21" s="93"/>
      <c r="E21" s="93"/>
      <c r="F21" s="93"/>
      <c r="G21" s="93"/>
      <c r="H21" s="93"/>
      <c r="I21" s="93"/>
      <c r="J21" s="93"/>
      <c r="K21" s="94"/>
      <c r="L21" s="46"/>
      <c r="M21" s="43" t="s">
        <v>46</v>
      </c>
      <c r="N21" s="43"/>
      <c r="O21" s="43"/>
      <c r="P21" s="43"/>
    </row>
    <row r="22" spans="2:18" ht="14.25" customHeight="1">
      <c r="B22" s="35">
        <v>11</v>
      </c>
      <c r="C22" s="117" t="s">
        <v>265</v>
      </c>
      <c r="D22" s="93"/>
      <c r="E22" s="93"/>
      <c r="F22" s="93"/>
      <c r="G22" s="93"/>
      <c r="H22" s="93"/>
      <c r="I22" s="93"/>
      <c r="J22" s="93"/>
      <c r="K22" s="94"/>
      <c r="L22" s="46"/>
      <c r="M22" s="43" t="s">
        <v>46</v>
      </c>
      <c r="N22" s="43"/>
      <c r="O22" s="43"/>
      <c r="P22" s="43"/>
      <c r="R22" s="53" t="s">
        <v>266</v>
      </c>
    </row>
    <row r="23" spans="2:18" ht="14.25" customHeight="1">
      <c r="B23" s="41">
        <v>13</v>
      </c>
      <c r="C23" s="117" t="s">
        <v>267</v>
      </c>
      <c r="D23" s="93"/>
      <c r="E23" s="93"/>
      <c r="F23" s="93"/>
      <c r="G23" s="93"/>
      <c r="H23" s="93"/>
      <c r="I23" s="93"/>
      <c r="J23" s="93"/>
      <c r="K23" s="94"/>
      <c r="L23" s="46"/>
      <c r="M23" s="43" t="s">
        <v>46</v>
      </c>
      <c r="N23" s="43"/>
      <c r="O23" s="43"/>
      <c r="P23" s="43"/>
    </row>
    <row r="24" spans="2:18" ht="14.25" customHeight="1">
      <c r="B24" s="35">
        <v>14</v>
      </c>
      <c r="C24" s="117" t="s">
        <v>268</v>
      </c>
      <c r="D24" s="93"/>
      <c r="E24" s="93"/>
      <c r="F24" s="93"/>
      <c r="G24" s="93"/>
      <c r="H24" s="93"/>
      <c r="I24" s="93"/>
      <c r="J24" s="93"/>
      <c r="K24" s="94"/>
      <c r="L24" s="46"/>
      <c r="M24" s="43" t="s">
        <v>46</v>
      </c>
      <c r="N24" s="43"/>
      <c r="O24" s="43"/>
      <c r="P24" s="43"/>
    </row>
    <row r="25" spans="2:18" ht="14.25" customHeight="1">
      <c r="B25" s="41">
        <v>15</v>
      </c>
      <c r="C25" s="117" t="s">
        <v>269</v>
      </c>
      <c r="D25" s="93"/>
      <c r="E25" s="93"/>
      <c r="F25" s="93"/>
      <c r="G25" s="93"/>
      <c r="H25" s="93"/>
      <c r="I25" s="93"/>
      <c r="J25" s="93"/>
      <c r="K25" s="94"/>
      <c r="L25" s="46"/>
      <c r="M25" s="43" t="s">
        <v>46</v>
      </c>
      <c r="N25" s="43"/>
      <c r="O25" s="43"/>
      <c r="P25" s="43"/>
    </row>
    <row r="26" spans="2:18" ht="14.25" customHeight="1">
      <c r="B26" s="41">
        <v>19</v>
      </c>
      <c r="C26" s="117" t="s">
        <v>270</v>
      </c>
      <c r="D26" s="93"/>
      <c r="E26" s="93"/>
      <c r="F26" s="93"/>
      <c r="G26" s="93"/>
      <c r="H26" s="93"/>
      <c r="I26" s="93"/>
      <c r="J26" s="93"/>
      <c r="K26" s="94"/>
      <c r="L26" s="46"/>
      <c r="M26" s="43"/>
      <c r="N26" s="43" t="s">
        <v>46</v>
      </c>
      <c r="O26" s="43"/>
      <c r="P26" s="43"/>
    </row>
    <row r="27" spans="2:18" ht="14.25" customHeight="1">
      <c r="B27" s="35">
        <v>20</v>
      </c>
      <c r="C27" s="117" t="s">
        <v>271</v>
      </c>
      <c r="D27" s="93"/>
      <c r="E27" s="93"/>
      <c r="F27" s="93"/>
      <c r="G27" s="93"/>
      <c r="H27" s="93"/>
      <c r="I27" s="93"/>
      <c r="J27" s="93"/>
      <c r="K27" s="94"/>
      <c r="L27" s="46"/>
      <c r="M27" s="43" t="s">
        <v>46</v>
      </c>
      <c r="N27" s="43"/>
      <c r="O27" s="43"/>
      <c r="P27" s="43"/>
    </row>
    <row r="28" spans="2:18" ht="14.25" customHeight="1">
      <c r="B28" s="41">
        <v>21</v>
      </c>
      <c r="C28" s="117" t="s">
        <v>218</v>
      </c>
      <c r="D28" s="93"/>
      <c r="E28" s="93"/>
      <c r="F28" s="93"/>
      <c r="G28" s="93"/>
      <c r="H28" s="93"/>
      <c r="I28" s="93"/>
      <c r="J28" s="93"/>
      <c r="K28" s="94"/>
      <c r="M28" s="43" t="s">
        <v>46</v>
      </c>
      <c r="N28" s="43"/>
      <c r="O28" s="43"/>
      <c r="P28" s="43"/>
    </row>
    <row r="29" spans="2:18" ht="14.25" customHeight="1">
      <c r="B29" s="41">
        <v>22</v>
      </c>
      <c r="C29" s="117" t="s">
        <v>219</v>
      </c>
      <c r="D29" s="93"/>
      <c r="E29" s="93"/>
      <c r="F29" s="93"/>
      <c r="G29" s="93"/>
      <c r="H29" s="93"/>
      <c r="I29" s="93"/>
      <c r="J29" s="93"/>
      <c r="K29" s="94"/>
      <c r="M29" s="43" t="s">
        <v>46</v>
      </c>
      <c r="N29" s="43"/>
      <c r="O29" s="43"/>
      <c r="P29" s="43"/>
    </row>
    <row r="30" spans="2:18" ht="14.25" customHeight="1">
      <c r="B30" s="35">
        <v>23</v>
      </c>
      <c r="C30" s="117" t="s">
        <v>272</v>
      </c>
      <c r="D30" s="93"/>
      <c r="E30" s="93"/>
      <c r="F30" s="93"/>
      <c r="G30" s="93"/>
      <c r="H30" s="93"/>
      <c r="I30" s="93"/>
      <c r="J30" s="93"/>
      <c r="K30" s="94"/>
      <c r="L30" s="46"/>
      <c r="M30" s="43" t="s">
        <v>46</v>
      </c>
      <c r="N30" s="43"/>
      <c r="O30" s="43"/>
      <c r="P30" s="43"/>
      <c r="R30" s="47" t="s">
        <v>273</v>
      </c>
    </row>
    <row r="31" spans="2:18" ht="14.25" customHeight="1">
      <c r="B31" s="41">
        <v>24</v>
      </c>
      <c r="C31" s="117" t="s">
        <v>274</v>
      </c>
      <c r="D31" s="93"/>
      <c r="E31" s="93"/>
      <c r="F31" s="93"/>
      <c r="G31" s="93"/>
      <c r="H31" s="93"/>
      <c r="I31" s="93"/>
      <c r="J31" s="93"/>
      <c r="K31" s="94"/>
      <c r="L31" s="46"/>
      <c r="M31" s="43" t="s">
        <v>46</v>
      </c>
      <c r="N31" s="43"/>
      <c r="O31" s="43"/>
      <c r="P31" s="43"/>
    </row>
    <row r="32" spans="2:18" ht="14.25" customHeight="1">
      <c r="B32" s="41">
        <v>25</v>
      </c>
      <c r="C32" s="117" t="s">
        <v>275</v>
      </c>
      <c r="D32" s="93"/>
      <c r="E32" s="93"/>
      <c r="F32" s="93"/>
      <c r="G32" s="93"/>
      <c r="H32" s="93"/>
      <c r="I32" s="93"/>
      <c r="J32" s="93"/>
      <c r="K32" s="94"/>
      <c r="L32" s="46"/>
      <c r="M32" s="43" t="s">
        <v>46</v>
      </c>
      <c r="N32" s="43"/>
      <c r="O32" s="43"/>
      <c r="P32" s="43"/>
      <c r="R32" s="47" t="s">
        <v>276</v>
      </c>
    </row>
    <row r="33" spans="2:16" ht="14.25" customHeight="1">
      <c r="B33" s="35">
        <v>26</v>
      </c>
      <c r="C33" s="117" t="s">
        <v>277</v>
      </c>
      <c r="D33" s="93"/>
      <c r="E33" s="93"/>
      <c r="F33" s="93"/>
      <c r="G33" s="93"/>
      <c r="H33" s="93"/>
      <c r="I33" s="93"/>
      <c r="J33" s="93"/>
      <c r="K33" s="94"/>
      <c r="L33" s="46"/>
      <c r="M33" s="43" t="s">
        <v>46</v>
      </c>
      <c r="N33" s="43"/>
      <c r="O33" s="43"/>
      <c r="P33" s="43"/>
    </row>
    <row r="34" spans="2:16" ht="14.25" customHeight="1">
      <c r="B34" s="41">
        <v>27</v>
      </c>
      <c r="C34" s="117" t="s">
        <v>278</v>
      </c>
      <c r="D34" s="93"/>
      <c r="E34" s="93"/>
      <c r="F34" s="93"/>
      <c r="G34" s="93"/>
      <c r="H34" s="93"/>
      <c r="I34" s="93"/>
      <c r="J34" s="93"/>
      <c r="K34" s="94"/>
      <c r="L34" s="44"/>
      <c r="M34" s="43" t="s">
        <v>46</v>
      </c>
      <c r="N34" s="43"/>
      <c r="O34" s="43"/>
      <c r="P34" s="43"/>
    </row>
    <row r="35" spans="2:16" ht="15.75" customHeight="1">
      <c r="B35" s="41"/>
      <c r="C35" s="117"/>
      <c r="D35" s="93"/>
      <c r="E35" s="93"/>
      <c r="F35" s="93"/>
      <c r="G35" s="93"/>
      <c r="H35" s="93"/>
      <c r="I35" s="93"/>
      <c r="J35" s="93"/>
      <c r="K35" s="94"/>
      <c r="M35" s="43"/>
      <c r="N35" s="43"/>
      <c r="O35" s="43"/>
      <c r="P35" s="43"/>
    </row>
    <row r="36" spans="2:16" ht="14.25" customHeight="1">
      <c r="B36" s="35"/>
      <c r="C36" s="117"/>
      <c r="D36" s="93"/>
      <c r="E36" s="93"/>
      <c r="F36" s="93"/>
      <c r="G36" s="93"/>
      <c r="H36" s="93"/>
      <c r="I36" s="93"/>
      <c r="J36" s="93"/>
      <c r="K36" s="94"/>
      <c r="M36" s="43"/>
      <c r="N36" s="43"/>
      <c r="O36" s="43"/>
      <c r="P36" s="43"/>
    </row>
    <row r="37" spans="2:16" ht="14.25" customHeight="1">
      <c r="B37" s="41"/>
      <c r="C37" s="117"/>
      <c r="D37" s="93"/>
      <c r="E37" s="93"/>
      <c r="F37" s="93"/>
      <c r="G37" s="93"/>
      <c r="H37" s="93"/>
      <c r="I37" s="93"/>
      <c r="J37" s="93"/>
      <c r="K37" s="94"/>
      <c r="L37" s="42"/>
      <c r="M37" s="43"/>
      <c r="N37" s="43"/>
      <c r="O37" s="43"/>
      <c r="P37" s="43"/>
    </row>
    <row r="38" spans="2:16" ht="15.75" customHeight="1">
      <c r="B38" s="41"/>
      <c r="C38" s="117"/>
      <c r="D38" s="93"/>
      <c r="E38" s="93"/>
      <c r="F38" s="93"/>
      <c r="G38" s="93"/>
      <c r="H38" s="93"/>
      <c r="I38" s="93"/>
      <c r="J38" s="93"/>
      <c r="K38" s="94"/>
      <c r="L38" s="44"/>
      <c r="M38" s="43"/>
      <c r="N38" s="43"/>
      <c r="O38" s="43"/>
      <c r="P38" s="43"/>
    </row>
    <row r="39" spans="2:16" ht="14.25" customHeight="1">
      <c r="B39" s="35"/>
      <c r="C39" s="117"/>
      <c r="D39" s="93"/>
      <c r="E39" s="93"/>
      <c r="F39" s="93"/>
      <c r="G39" s="93"/>
      <c r="H39" s="93"/>
      <c r="I39" s="93"/>
      <c r="J39" s="93"/>
      <c r="K39" s="94"/>
      <c r="M39" s="43"/>
      <c r="N39" s="43"/>
      <c r="O39" s="43"/>
      <c r="P39" s="43"/>
    </row>
    <row r="40" spans="2:16" ht="14.25" customHeight="1">
      <c r="B40" s="41"/>
      <c r="C40" s="117"/>
      <c r="D40" s="93"/>
      <c r="E40" s="93"/>
      <c r="F40" s="93"/>
      <c r="G40" s="93"/>
      <c r="H40" s="93"/>
      <c r="I40" s="93"/>
      <c r="J40" s="93"/>
      <c r="K40" s="94"/>
      <c r="M40" s="43"/>
      <c r="N40" s="43"/>
      <c r="O40" s="43"/>
      <c r="P40" s="43"/>
    </row>
    <row r="41" spans="2:16" ht="14.25" customHeight="1">
      <c r="B41" s="41"/>
      <c r="C41" s="117"/>
      <c r="D41" s="93"/>
      <c r="E41" s="93"/>
      <c r="F41" s="93"/>
      <c r="G41" s="93"/>
      <c r="H41" s="93"/>
      <c r="I41" s="93"/>
      <c r="J41" s="93"/>
      <c r="K41" s="94"/>
      <c r="L41" s="42"/>
      <c r="M41" s="43"/>
      <c r="N41" s="43"/>
      <c r="O41" s="43"/>
      <c r="P41" s="43"/>
    </row>
    <row r="42" spans="2:16" ht="14.25" customHeight="1">
      <c r="B42" s="35"/>
      <c r="C42" s="117"/>
      <c r="D42" s="93"/>
      <c r="E42" s="93"/>
      <c r="F42" s="93"/>
      <c r="G42" s="93"/>
      <c r="H42" s="93"/>
      <c r="I42" s="93"/>
      <c r="J42" s="93"/>
      <c r="K42" s="94"/>
      <c r="L42" s="44"/>
      <c r="M42" s="43"/>
      <c r="N42" s="43"/>
      <c r="O42" s="43"/>
      <c r="P42" s="43"/>
    </row>
    <row r="43" spans="2:16" ht="14.25" customHeight="1">
      <c r="B43" s="41"/>
      <c r="C43" s="117"/>
      <c r="D43" s="93"/>
      <c r="E43" s="93"/>
      <c r="F43" s="93"/>
      <c r="G43" s="93"/>
      <c r="H43" s="93"/>
      <c r="I43" s="93"/>
      <c r="J43" s="93"/>
      <c r="K43" s="94"/>
      <c r="M43" s="43"/>
      <c r="N43" s="43"/>
      <c r="O43" s="43"/>
      <c r="P43" s="43"/>
    </row>
    <row r="44" spans="2:16" ht="14.25" customHeight="1">
      <c r="B44" s="41"/>
      <c r="C44" s="117"/>
      <c r="D44" s="93"/>
      <c r="E44" s="93"/>
      <c r="F44" s="93"/>
      <c r="G44" s="93"/>
      <c r="H44" s="93"/>
      <c r="I44" s="93"/>
      <c r="J44" s="93"/>
      <c r="K44" s="94"/>
      <c r="M44" s="43"/>
      <c r="N44" s="43"/>
      <c r="O44" s="43"/>
      <c r="P44" s="43"/>
    </row>
    <row r="45" spans="2:16" ht="14.25" customHeight="1">
      <c r="B45" s="41"/>
      <c r="C45" s="117"/>
      <c r="D45" s="93"/>
      <c r="E45" s="93"/>
      <c r="F45" s="93"/>
      <c r="G45" s="93"/>
      <c r="H45" s="93"/>
      <c r="I45" s="93"/>
      <c r="J45" s="93"/>
      <c r="K45" s="94"/>
      <c r="M45" s="43"/>
      <c r="N45" s="43"/>
      <c r="O45" s="43"/>
      <c r="P45" s="43"/>
    </row>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42">
    <mergeCell ref="C2:G2"/>
    <mergeCell ref="C3:G3"/>
    <mergeCell ref="C4:G4"/>
    <mergeCell ref="B5:C5"/>
    <mergeCell ref="M8:O8"/>
    <mergeCell ref="P8:P9"/>
    <mergeCell ref="D9:I9"/>
    <mergeCell ref="C11:E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42:K42"/>
    <mergeCell ref="C43:K43"/>
    <mergeCell ref="C44:K44"/>
    <mergeCell ref="C45:K45"/>
    <mergeCell ref="C35:K35"/>
    <mergeCell ref="C36:K36"/>
    <mergeCell ref="C37:K37"/>
    <mergeCell ref="C38:K38"/>
    <mergeCell ref="C39:K39"/>
    <mergeCell ref="C40:K40"/>
    <mergeCell ref="C41:K41"/>
  </mergeCells>
  <hyperlinks>
    <hyperlink ref="V2" location="'REQ. NO FUN. GEN'!A1" display="Volver" xr:uid="{00000000-0004-0000-0B00-000000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V1023"/>
  <sheetViews>
    <sheetView topLeftCell="A22" zoomScaleNormal="100" workbookViewId="0">
      <selection activeCell="R36" sqref="R36"/>
    </sheetView>
  </sheetViews>
  <sheetFormatPr baseColWidth="10" defaultColWidth="12.5703125" defaultRowHeight="15" customHeight="1"/>
  <cols>
    <col min="1" max="1" width="10.5703125" customWidth="1"/>
    <col min="2" max="2" width="4.285156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6"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row>
    <row r="8" spans="2:22" ht="14.25" customHeight="1">
      <c r="B8" s="29"/>
      <c r="M8" s="128" t="s">
        <v>41</v>
      </c>
      <c r="N8" s="129"/>
      <c r="O8" s="130"/>
      <c r="P8" s="123" t="s">
        <v>42</v>
      </c>
    </row>
    <row r="9" spans="2:22" ht="14.25" customHeight="1">
      <c r="B9" s="35"/>
      <c r="C9" s="36"/>
      <c r="D9" s="125" t="s">
        <v>626</v>
      </c>
      <c r="E9" s="99"/>
      <c r="F9" s="99"/>
      <c r="G9" s="99"/>
      <c r="H9" s="99"/>
      <c r="I9" s="100"/>
      <c r="J9" s="36"/>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0" customHeight="1">
      <c r="B12" s="41">
        <v>1</v>
      </c>
      <c r="C12" s="117" t="s">
        <v>627</v>
      </c>
      <c r="D12" s="93"/>
      <c r="E12" s="93"/>
      <c r="F12" s="93"/>
      <c r="G12" s="93"/>
      <c r="H12" s="93"/>
      <c r="I12" s="93"/>
      <c r="J12" s="93"/>
      <c r="K12" s="94"/>
      <c r="L12" s="42"/>
      <c r="M12" s="57" t="s">
        <v>46</v>
      </c>
      <c r="N12" s="58"/>
      <c r="O12" s="58"/>
      <c r="P12" s="59"/>
    </row>
    <row r="13" spans="2:22" ht="30" customHeight="1">
      <c r="B13" s="63">
        <v>2</v>
      </c>
      <c r="C13" s="117" t="s">
        <v>629</v>
      </c>
      <c r="D13" s="93"/>
      <c r="E13" s="93"/>
      <c r="F13" s="93"/>
      <c r="G13" s="93"/>
      <c r="H13" s="93"/>
      <c r="I13" s="93"/>
      <c r="J13" s="93"/>
      <c r="K13" s="94"/>
      <c r="L13" s="64"/>
      <c r="M13" s="57" t="s">
        <v>46</v>
      </c>
      <c r="N13" s="58"/>
      <c r="O13" s="58"/>
      <c r="P13" s="62"/>
    </row>
    <row r="14" spans="2:22" ht="34.5" customHeight="1">
      <c r="B14" s="35">
        <v>3</v>
      </c>
      <c r="C14" s="117" t="s">
        <v>628</v>
      </c>
      <c r="D14" s="93"/>
      <c r="E14" s="93"/>
      <c r="F14" s="93"/>
      <c r="G14" s="93"/>
      <c r="H14" s="93"/>
      <c r="I14" s="93"/>
      <c r="J14" s="93"/>
      <c r="K14" s="94"/>
      <c r="L14" s="44"/>
      <c r="M14" s="57" t="s">
        <v>46</v>
      </c>
      <c r="N14" s="58"/>
      <c r="O14" s="58"/>
      <c r="P14" s="59"/>
    </row>
    <row r="15" spans="2:22" ht="14.25" customHeight="1">
      <c r="B15" s="41">
        <v>4</v>
      </c>
      <c r="C15" s="117" t="s">
        <v>630</v>
      </c>
      <c r="D15" s="93"/>
      <c r="E15" s="93"/>
      <c r="F15" s="93"/>
      <c r="G15" s="93"/>
      <c r="H15" s="93"/>
      <c r="I15" s="93"/>
      <c r="J15" s="93"/>
      <c r="K15" s="94"/>
      <c r="L15" s="44"/>
      <c r="M15" s="57" t="s">
        <v>46</v>
      </c>
      <c r="N15" s="58"/>
      <c r="O15" s="58"/>
      <c r="P15" s="62"/>
    </row>
    <row r="16" spans="2:22" ht="30" customHeight="1">
      <c r="B16" s="63">
        <v>5</v>
      </c>
      <c r="C16" s="117" t="s">
        <v>631</v>
      </c>
      <c r="D16" s="93"/>
      <c r="E16" s="93"/>
      <c r="F16" s="93"/>
      <c r="G16" s="93"/>
      <c r="H16" s="93"/>
      <c r="I16" s="93"/>
      <c r="J16" s="93"/>
      <c r="K16" s="94"/>
      <c r="L16" s="44"/>
      <c r="M16" s="57" t="s">
        <v>46</v>
      </c>
      <c r="N16" s="58"/>
      <c r="O16" s="58"/>
      <c r="P16" s="62"/>
    </row>
    <row r="17" spans="2:16" ht="30.75" customHeight="1">
      <c r="B17" s="35">
        <v>6</v>
      </c>
      <c r="C17" s="117" t="s">
        <v>632</v>
      </c>
      <c r="D17" s="93"/>
      <c r="E17" s="93"/>
      <c r="F17" s="93"/>
      <c r="G17" s="93"/>
      <c r="H17" s="93"/>
      <c r="I17" s="93"/>
      <c r="J17" s="93"/>
      <c r="K17" s="94"/>
      <c r="L17" s="44"/>
      <c r="M17" s="57" t="s">
        <v>46</v>
      </c>
      <c r="N17" s="58"/>
      <c r="O17" s="58"/>
      <c r="P17" s="62"/>
    </row>
    <row r="18" spans="2:16" ht="30.75" customHeight="1">
      <c r="B18" s="41">
        <v>7</v>
      </c>
      <c r="C18" s="117" t="s">
        <v>634</v>
      </c>
      <c r="D18" s="93"/>
      <c r="E18" s="93"/>
      <c r="F18" s="93"/>
      <c r="G18" s="93"/>
      <c r="H18" s="93"/>
      <c r="I18" s="93"/>
      <c r="J18" s="93"/>
      <c r="K18" s="94"/>
      <c r="L18" s="44"/>
      <c r="M18" s="57" t="s">
        <v>46</v>
      </c>
      <c r="N18" s="58"/>
      <c r="O18" s="58"/>
      <c r="P18" s="62"/>
    </row>
    <row r="19" spans="2:16" ht="14.25" customHeight="1">
      <c r="B19" s="63">
        <v>8</v>
      </c>
      <c r="C19" s="117" t="s">
        <v>633</v>
      </c>
      <c r="D19" s="93"/>
      <c r="E19" s="93"/>
      <c r="F19" s="93"/>
      <c r="G19" s="93"/>
      <c r="H19" s="93"/>
      <c r="I19" s="93"/>
      <c r="J19" s="93"/>
      <c r="K19" s="94"/>
      <c r="L19" s="44"/>
      <c r="M19" s="57" t="s">
        <v>46</v>
      </c>
      <c r="N19" s="58"/>
      <c r="O19" s="58"/>
      <c r="P19" s="62"/>
    </row>
    <row r="20" spans="2:16" ht="20.25" customHeight="1">
      <c r="B20" s="35">
        <v>9</v>
      </c>
      <c r="C20" s="117" t="s">
        <v>635</v>
      </c>
      <c r="D20" s="93"/>
      <c r="E20" s="93"/>
      <c r="F20" s="93"/>
      <c r="G20" s="93"/>
      <c r="H20" s="93"/>
      <c r="I20" s="93"/>
      <c r="J20" s="93"/>
      <c r="K20" s="94"/>
      <c r="L20" s="44"/>
      <c r="M20" s="57" t="s">
        <v>46</v>
      </c>
      <c r="N20" s="58"/>
      <c r="O20" s="58"/>
      <c r="P20" s="62"/>
    </row>
    <row r="21" spans="2:16" ht="33.75" customHeight="1">
      <c r="B21" s="41">
        <v>10</v>
      </c>
      <c r="C21" s="117" t="s">
        <v>636</v>
      </c>
      <c r="D21" s="93"/>
      <c r="E21" s="93"/>
      <c r="F21" s="93"/>
      <c r="G21" s="93"/>
      <c r="H21" s="93"/>
      <c r="I21" s="93"/>
      <c r="J21" s="93"/>
      <c r="K21" s="94"/>
      <c r="L21" s="44"/>
      <c r="M21" s="57" t="s">
        <v>46</v>
      </c>
      <c r="N21" s="58"/>
      <c r="O21" s="58"/>
      <c r="P21" s="62"/>
    </row>
    <row r="22" spans="2:16" ht="30.75" customHeight="1">
      <c r="B22" s="63">
        <v>11</v>
      </c>
      <c r="C22" s="117" t="s">
        <v>637</v>
      </c>
      <c r="D22" s="93"/>
      <c r="E22" s="93"/>
      <c r="F22" s="93"/>
      <c r="G22" s="93"/>
      <c r="H22" s="93"/>
      <c r="I22" s="93"/>
      <c r="J22" s="93"/>
      <c r="K22" s="94"/>
      <c r="L22" s="44"/>
      <c r="M22" s="57" t="s">
        <v>46</v>
      </c>
      <c r="N22" s="58"/>
      <c r="O22" s="58"/>
      <c r="P22" s="62"/>
    </row>
    <row r="23" spans="2:16" ht="14.25" customHeight="1">
      <c r="B23" s="35">
        <v>12</v>
      </c>
      <c r="C23" s="117" t="s">
        <v>638</v>
      </c>
      <c r="D23" s="93"/>
      <c r="E23" s="93"/>
      <c r="F23" s="93"/>
      <c r="G23" s="93"/>
      <c r="H23" s="93"/>
      <c r="I23" s="93"/>
      <c r="J23" s="93"/>
      <c r="K23" s="94"/>
      <c r="L23" s="44"/>
      <c r="M23" s="57" t="s">
        <v>46</v>
      </c>
      <c r="N23" s="58"/>
      <c r="O23" s="58"/>
      <c r="P23" s="62"/>
    </row>
    <row r="24" spans="2:16" ht="14.25" customHeight="1">
      <c r="B24" s="41">
        <v>13</v>
      </c>
      <c r="C24" s="117" t="s">
        <v>647</v>
      </c>
      <c r="D24" s="93"/>
      <c r="E24" s="93"/>
      <c r="F24" s="93"/>
      <c r="G24" s="93"/>
      <c r="H24" s="93"/>
      <c r="I24" s="93"/>
      <c r="J24" s="93"/>
      <c r="K24" s="94"/>
      <c r="L24" s="44"/>
      <c r="M24" s="57" t="s">
        <v>46</v>
      </c>
      <c r="N24" s="58"/>
      <c r="O24" s="58"/>
      <c r="P24" s="62"/>
    </row>
    <row r="25" spans="2:16" ht="28.5" customHeight="1">
      <c r="B25" s="63">
        <v>14</v>
      </c>
      <c r="C25" s="117" t="s">
        <v>652</v>
      </c>
      <c r="D25" s="93"/>
      <c r="E25" s="93"/>
      <c r="F25" s="93"/>
      <c r="G25" s="93"/>
      <c r="H25" s="93"/>
      <c r="I25" s="93"/>
      <c r="J25" s="93"/>
      <c r="K25" s="94"/>
      <c r="L25" s="44"/>
      <c r="M25" s="57" t="s">
        <v>46</v>
      </c>
      <c r="N25" s="58"/>
      <c r="O25" s="58"/>
      <c r="P25" s="62"/>
    </row>
    <row r="26" spans="2:16" ht="27.75" customHeight="1">
      <c r="B26" s="35">
        <v>15</v>
      </c>
      <c r="C26" s="117" t="s">
        <v>650</v>
      </c>
      <c r="D26" s="93"/>
      <c r="E26" s="93"/>
      <c r="F26" s="93"/>
      <c r="G26" s="93"/>
      <c r="H26" s="93"/>
      <c r="I26" s="93"/>
      <c r="J26" s="93"/>
      <c r="K26" s="94"/>
      <c r="L26" s="44"/>
      <c r="M26" s="57" t="s">
        <v>46</v>
      </c>
      <c r="N26" s="58"/>
      <c r="O26" s="58"/>
      <c r="P26" s="62"/>
    </row>
    <row r="27" spans="2:16" ht="14.25" customHeight="1">
      <c r="B27" s="41">
        <v>16</v>
      </c>
      <c r="C27" s="117" t="s">
        <v>651</v>
      </c>
      <c r="D27" s="93"/>
      <c r="E27" s="93"/>
      <c r="F27" s="93"/>
      <c r="G27" s="93"/>
      <c r="H27" s="93"/>
      <c r="I27" s="93"/>
      <c r="J27" s="93"/>
      <c r="K27" s="94"/>
      <c r="L27" s="44"/>
      <c r="M27" s="57" t="s">
        <v>46</v>
      </c>
      <c r="N27" s="58"/>
      <c r="O27" s="58"/>
      <c r="P27" s="62"/>
    </row>
    <row r="28" spans="2:16" ht="27.75" customHeight="1">
      <c r="B28" s="63">
        <v>17</v>
      </c>
      <c r="C28" s="117" t="s">
        <v>648</v>
      </c>
      <c r="D28" s="93"/>
      <c r="E28" s="93"/>
      <c r="F28" s="93"/>
      <c r="G28" s="93"/>
      <c r="H28" s="93"/>
      <c r="I28" s="93"/>
      <c r="J28" s="93"/>
      <c r="K28" s="94"/>
      <c r="L28" s="44"/>
      <c r="M28" s="57" t="s">
        <v>46</v>
      </c>
      <c r="N28" s="58"/>
      <c r="O28" s="58"/>
      <c r="P28" s="62"/>
    </row>
    <row r="29" spans="2:16" ht="27" customHeight="1">
      <c r="B29" s="35">
        <v>18</v>
      </c>
      <c r="C29" s="117" t="s">
        <v>649</v>
      </c>
      <c r="D29" s="93"/>
      <c r="E29" s="93"/>
      <c r="F29" s="93"/>
      <c r="G29" s="93"/>
      <c r="H29" s="93"/>
      <c r="I29" s="93"/>
      <c r="J29" s="93"/>
      <c r="K29" s="94"/>
      <c r="L29" s="44"/>
      <c r="M29" s="57" t="s">
        <v>46</v>
      </c>
      <c r="N29" s="58"/>
      <c r="O29" s="58"/>
      <c r="P29" s="62"/>
    </row>
    <row r="30" spans="2:16" ht="27" customHeight="1">
      <c r="B30" s="41">
        <v>19</v>
      </c>
      <c r="C30" s="117" t="s">
        <v>653</v>
      </c>
      <c r="D30" s="93"/>
      <c r="E30" s="93"/>
      <c r="F30" s="93"/>
      <c r="G30" s="93"/>
      <c r="H30" s="93"/>
      <c r="I30" s="93"/>
      <c r="J30" s="93"/>
      <c r="K30" s="94"/>
      <c r="L30" s="44"/>
      <c r="M30" s="57" t="s">
        <v>46</v>
      </c>
      <c r="N30" s="58"/>
      <c r="O30" s="58"/>
      <c r="P30" s="62"/>
    </row>
    <row r="31" spans="2:16" ht="30" customHeight="1">
      <c r="B31" s="63">
        <v>20</v>
      </c>
      <c r="C31" s="117" t="s">
        <v>654</v>
      </c>
      <c r="D31" s="93"/>
      <c r="E31" s="93"/>
      <c r="F31" s="93"/>
      <c r="G31" s="93"/>
      <c r="H31" s="93"/>
      <c r="I31" s="93"/>
      <c r="J31" s="93"/>
      <c r="K31" s="94"/>
      <c r="L31" s="44"/>
      <c r="M31" s="57" t="s">
        <v>46</v>
      </c>
      <c r="N31" s="58"/>
      <c r="O31" s="58"/>
      <c r="P31" s="62"/>
    </row>
    <row r="32" spans="2:16" ht="14.25" customHeight="1">
      <c r="B32" s="35">
        <v>21</v>
      </c>
      <c r="C32" s="117" t="s">
        <v>655</v>
      </c>
      <c r="D32" s="93"/>
      <c r="E32" s="93"/>
      <c r="F32" s="93"/>
      <c r="G32" s="93"/>
      <c r="H32" s="93"/>
      <c r="I32" s="93"/>
      <c r="J32" s="93"/>
      <c r="K32" s="94"/>
      <c r="L32" s="44"/>
      <c r="M32" s="57" t="s">
        <v>46</v>
      </c>
      <c r="N32" s="58"/>
      <c r="O32" s="58"/>
      <c r="P32" s="62"/>
    </row>
    <row r="33" spans="2:18" ht="27.75" customHeight="1">
      <c r="B33" s="41">
        <v>22</v>
      </c>
      <c r="C33" s="117" t="s">
        <v>639</v>
      </c>
      <c r="D33" s="93"/>
      <c r="E33" s="93"/>
      <c r="F33" s="93"/>
      <c r="G33" s="93"/>
      <c r="H33" s="93"/>
      <c r="I33" s="93"/>
      <c r="J33" s="93"/>
      <c r="K33" s="94"/>
      <c r="L33" s="44"/>
      <c r="M33" s="57" t="s">
        <v>46</v>
      </c>
      <c r="N33" s="58"/>
      <c r="O33" s="58"/>
      <c r="P33" s="62"/>
    </row>
    <row r="34" spans="2:18" ht="14.25" customHeight="1">
      <c r="B34" s="63">
        <v>23</v>
      </c>
      <c r="C34" s="117" t="s">
        <v>640</v>
      </c>
      <c r="D34" s="93"/>
      <c r="E34" s="93"/>
      <c r="F34" s="93"/>
      <c r="G34" s="93"/>
      <c r="H34" s="93"/>
      <c r="I34" s="93"/>
      <c r="J34" s="93"/>
      <c r="K34" s="94"/>
      <c r="L34" s="44"/>
      <c r="M34" s="57" t="s">
        <v>46</v>
      </c>
      <c r="N34" s="58"/>
      <c r="O34" s="58"/>
      <c r="P34" s="62"/>
    </row>
    <row r="35" spans="2:18" ht="33" customHeight="1">
      <c r="B35" s="35">
        <v>24</v>
      </c>
      <c r="C35" s="117" t="s">
        <v>641</v>
      </c>
      <c r="D35" s="93"/>
      <c r="E35" s="93"/>
      <c r="F35" s="93"/>
      <c r="G35" s="93"/>
      <c r="H35" s="93"/>
      <c r="I35" s="93"/>
      <c r="J35" s="93"/>
      <c r="K35" s="94"/>
      <c r="L35" s="44"/>
      <c r="M35" s="57"/>
      <c r="N35" s="58" t="s">
        <v>46</v>
      </c>
      <c r="O35" s="58"/>
      <c r="P35" s="62"/>
      <c r="R35" s="80" t="s">
        <v>908</v>
      </c>
    </row>
    <row r="36" spans="2:18" ht="28.5" customHeight="1">
      <c r="B36" s="41">
        <v>25</v>
      </c>
      <c r="C36" s="117" t="s">
        <v>642</v>
      </c>
      <c r="D36" s="93"/>
      <c r="E36" s="93"/>
      <c r="F36" s="93"/>
      <c r="G36" s="93"/>
      <c r="H36" s="93"/>
      <c r="I36" s="93"/>
      <c r="J36" s="93"/>
      <c r="K36" s="94"/>
      <c r="L36" s="44"/>
      <c r="M36" s="57" t="s">
        <v>46</v>
      </c>
      <c r="N36" s="58"/>
      <c r="O36" s="58"/>
      <c r="P36" s="62"/>
    </row>
    <row r="37" spans="2:18" ht="14.25" customHeight="1">
      <c r="B37" s="63">
        <v>26</v>
      </c>
      <c r="C37" s="117" t="s">
        <v>643</v>
      </c>
      <c r="D37" s="93"/>
      <c r="E37" s="93"/>
      <c r="F37" s="93"/>
      <c r="G37" s="93"/>
      <c r="H37" s="93"/>
      <c r="I37" s="93"/>
      <c r="J37" s="93"/>
      <c r="K37" s="94"/>
      <c r="L37" s="44"/>
      <c r="M37" s="57" t="s">
        <v>46</v>
      </c>
      <c r="N37" s="58"/>
      <c r="O37" s="58"/>
      <c r="P37" s="62"/>
    </row>
    <row r="38" spans="2:18" ht="28.5" customHeight="1">
      <c r="B38" s="35">
        <v>27</v>
      </c>
      <c r="C38" s="117" t="s">
        <v>644</v>
      </c>
      <c r="D38" s="93"/>
      <c r="E38" s="93"/>
      <c r="F38" s="93"/>
      <c r="G38" s="93"/>
      <c r="H38" s="93"/>
      <c r="I38" s="93"/>
      <c r="J38" s="93"/>
      <c r="K38" s="94"/>
      <c r="L38" s="44"/>
      <c r="M38" s="57" t="s">
        <v>46</v>
      </c>
      <c r="N38" s="58"/>
      <c r="O38" s="58"/>
      <c r="P38" s="62"/>
    </row>
    <row r="39" spans="2:18" ht="14.25" customHeight="1">
      <c r="B39" s="41">
        <v>28</v>
      </c>
      <c r="C39" s="117" t="s">
        <v>645</v>
      </c>
      <c r="D39" s="93"/>
      <c r="E39" s="93"/>
      <c r="F39" s="93"/>
      <c r="G39" s="93"/>
      <c r="H39" s="93"/>
      <c r="I39" s="93"/>
      <c r="J39" s="93"/>
      <c r="K39" s="94"/>
      <c r="L39" s="44"/>
      <c r="M39" s="57" t="s">
        <v>46</v>
      </c>
      <c r="N39" s="58"/>
      <c r="O39" s="58"/>
      <c r="P39" s="62"/>
    </row>
    <row r="40" spans="2:18" ht="14.25" customHeight="1">
      <c r="B40" s="63">
        <v>29</v>
      </c>
      <c r="C40" s="117" t="s">
        <v>646</v>
      </c>
      <c r="D40" s="93"/>
      <c r="E40" s="93"/>
      <c r="F40" s="93"/>
      <c r="G40" s="93"/>
      <c r="H40" s="93"/>
      <c r="I40" s="93"/>
      <c r="J40" s="93"/>
      <c r="K40" s="94"/>
      <c r="L40" s="44"/>
      <c r="M40" s="57" t="s">
        <v>46</v>
      </c>
      <c r="N40" s="58"/>
      <c r="O40" s="58"/>
      <c r="P40" s="62"/>
    </row>
    <row r="41" spans="2:18" ht="39.75" customHeight="1">
      <c r="B41" s="63">
        <v>30</v>
      </c>
      <c r="C41" s="117" t="s">
        <v>656</v>
      </c>
      <c r="D41" s="93"/>
      <c r="E41" s="93"/>
      <c r="F41" s="93"/>
      <c r="G41" s="93"/>
      <c r="H41" s="93"/>
      <c r="I41" s="93"/>
      <c r="J41" s="93"/>
      <c r="K41" s="94"/>
      <c r="L41" s="44"/>
      <c r="M41" s="57" t="s">
        <v>46</v>
      </c>
      <c r="N41" s="58"/>
      <c r="O41" s="58"/>
      <c r="P41" s="62"/>
    </row>
    <row r="42" spans="2:18" ht="30.75" customHeight="1">
      <c r="B42" s="63">
        <v>31</v>
      </c>
      <c r="C42" s="117" t="s">
        <v>661</v>
      </c>
      <c r="D42" s="93"/>
      <c r="E42" s="93"/>
      <c r="F42" s="93"/>
      <c r="G42" s="93"/>
      <c r="H42" s="93"/>
      <c r="I42" s="93"/>
      <c r="J42" s="93"/>
      <c r="K42" s="94"/>
      <c r="L42" s="44"/>
      <c r="M42" s="57" t="s">
        <v>46</v>
      </c>
      <c r="N42" s="58"/>
      <c r="O42" s="58"/>
      <c r="P42" s="62"/>
    </row>
    <row r="43" spans="2:18" ht="14.25" customHeight="1">
      <c r="B43" s="35">
        <v>32</v>
      </c>
      <c r="C43" s="117" t="s">
        <v>279</v>
      </c>
      <c r="D43" s="93"/>
      <c r="E43" s="93"/>
      <c r="F43" s="93"/>
      <c r="G43" s="93"/>
      <c r="H43" s="93"/>
      <c r="I43" s="93"/>
      <c r="J43" s="93"/>
      <c r="K43" s="94"/>
      <c r="L43" s="44"/>
      <c r="M43" s="57" t="s">
        <v>46</v>
      </c>
      <c r="N43" s="58"/>
      <c r="O43" s="58"/>
      <c r="P43" s="62"/>
    </row>
    <row r="44" spans="2:18" ht="14.25" customHeight="1"/>
    <row r="45" spans="2:18" ht="14.25" customHeight="1">
      <c r="C45" s="47"/>
    </row>
    <row r="46" spans="2:18" ht="14.25" customHeight="1"/>
    <row r="47" spans="2:18" ht="14.25" customHeight="1"/>
    <row r="48" spans="2: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sheetData>
  <mergeCells count="40">
    <mergeCell ref="C43:K43"/>
    <mergeCell ref="C18:K18"/>
    <mergeCell ref="C19:K19"/>
    <mergeCell ref="C20:K20"/>
    <mergeCell ref="C21:K21"/>
    <mergeCell ref="C22:K22"/>
    <mergeCell ref="C24:K24"/>
    <mergeCell ref="C31:K31"/>
    <mergeCell ref="C32:K32"/>
    <mergeCell ref="C33:K33"/>
    <mergeCell ref="C34:K34"/>
    <mergeCell ref="C35:K35"/>
    <mergeCell ref="C36:K36"/>
    <mergeCell ref="C42:K42"/>
    <mergeCell ref="C41:K41"/>
    <mergeCell ref="C40:K40"/>
    <mergeCell ref="C2:G2"/>
    <mergeCell ref="C3:G3"/>
    <mergeCell ref="C4:G4"/>
    <mergeCell ref="B5:C5"/>
    <mergeCell ref="M8:O8"/>
    <mergeCell ref="P8:P9"/>
    <mergeCell ref="D9:I9"/>
    <mergeCell ref="C11:E11"/>
    <mergeCell ref="C12:K12"/>
    <mergeCell ref="C14:K14"/>
    <mergeCell ref="C13:K13"/>
    <mergeCell ref="C15:K15"/>
    <mergeCell ref="C16:K16"/>
    <mergeCell ref="C17:K17"/>
    <mergeCell ref="C23:K23"/>
    <mergeCell ref="C39:K39"/>
    <mergeCell ref="C25:K25"/>
    <mergeCell ref="C26:K26"/>
    <mergeCell ref="C27:K27"/>
    <mergeCell ref="C28:K28"/>
    <mergeCell ref="C29:K29"/>
    <mergeCell ref="C30:K30"/>
    <mergeCell ref="C37:K37"/>
    <mergeCell ref="C38:K38"/>
  </mergeCells>
  <hyperlinks>
    <hyperlink ref="V2" location="'REQ. FUN. GEN'!A1" display="Volver" xr:uid="{00000000-0004-0000-0C00-000000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V1000"/>
  <sheetViews>
    <sheetView workbookViewId="0"/>
  </sheetViews>
  <sheetFormatPr baseColWidth="10" defaultColWidth="12.5703125" defaultRowHeight="15" customHeight="1"/>
  <cols>
    <col min="1" max="1" width="10.5703125" customWidth="1"/>
    <col min="2" max="2" width="4.285156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36"/>
      <c r="D9" s="125" t="s">
        <v>224</v>
      </c>
      <c r="E9" s="99"/>
      <c r="F9" s="99"/>
      <c r="G9" s="99"/>
      <c r="H9" s="99"/>
      <c r="I9" s="100"/>
      <c r="J9" s="36"/>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c r="D12" s="93"/>
      <c r="E12" s="93"/>
      <c r="F12" s="93"/>
      <c r="G12" s="93"/>
      <c r="H12" s="93"/>
      <c r="I12" s="93"/>
      <c r="J12" s="93"/>
      <c r="K12" s="94"/>
      <c r="L12" s="42"/>
      <c r="M12" s="60"/>
      <c r="N12" s="51"/>
      <c r="O12" s="51"/>
      <c r="P12" s="52"/>
    </row>
    <row r="13" spans="2:22" ht="14.25" customHeight="1">
      <c r="B13" s="35">
        <v>2</v>
      </c>
      <c r="C13" s="117"/>
      <c r="D13" s="93"/>
      <c r="E13" s="93"/>
      <c r="F13" s="93"/>
      <c r="G13" s="93"/>
      <c r="H13" s="93"/>
      <c r="I13" s="93"/>
      <c r="J13" s="93"/>
      <c r="K13" s="94"/>
      <c r="L13" s="44"/>
      <c r="M13" s="60"/>
      <c r="N13" s="51"/>
      <c r="O13" s="51"/>
      <c r="P13" s="52"/>
    </row>
    <row r="14" spans="2:22" ht="14.25" customHeight="1">
      <c r="B14" s="41">
        <v>3</v>
      </c>
      <c r="C14" s="117"/>
      <c r="D14" s="93"/>
      <c r="E14" s="93"/>
      <c r="F14" s="93"/>
      <c r="G14" s="93"/>
      <c r="H14" s="93"/>
      <c r="I14" s="93"/>
      <c r="J14" s="93"/>
      <c r="K14" s="94"/>
      <c r="M14" s="60"/>
      <c r="N14" s="51"/>
      <c r="O14" s="51"/>
      <c r="P14" s="52"/>
    </row>
    <row r="15" spans="2:22" ht="14.25" customHeight="1">
      <c r="B15" s="41">
        <v>4</v>
      </c>
      <c r="C15" s="117"/>
      <c r="D15" s="93"/>
      <c r="E15" s="93"/>
      <c r="F15" s="93"/>
      <c r="G15" s="93"/>
      <c r="H15" s="93"/>
      <c r="I15" s="93"/>
      <c r="J15" s="93"/>
      <c r="K15" s="94"/>
      <c r="M15" s="60"/>
      <c r="N15" s="51"/>
      <c r="O15" s="51"/>
      <c r="P15" s="52"/>
    </row>
    <row r="16" spans="2:22" ht="14.25" customHeight="1">
      <c r="B16" s="41">
        <v>5</v>
      </c>
      <c r="C16" s="117"/>
      <c r="D16" s="93"/>
      <c r="E16" s="93"/>
      <c r="F16" s="93"/>
      <c r="G16" s="93"/>
      <c r="H16" s="93"/>
      <c r="I16" s="93"/>
      <c r="J16" s="93"/>
      <c r="K16" s="94"/>
      <c r="L16" s="42"/>
      <c r="M16" s="60"/>
      <c r="N16" s="51"/>
      <c r="O16" s="51"/>
      <c r="P16" s="52"/>
    </row>
    <row r="17" spans="2:16" ht="14.25" customHeight="1">
      <c r="B17" s="35">
        <v>6</v>
      </c>
      <c r="C17" s="117"/>
      <c r="D17" s="93"/>
      <c r="E17" s="93"/>
      <c r="F17" s="93"/>
      <c r="G17" s="93"/>
      <c r="H17" s="93"/>
      <c r="I17" s="93"/>
      <c r="J17" s="93"/>
      <c r="K17" s="94"/>
      <c r="L17" s="44"/>
      <c r="M17" s="60"/>
      <c r="N17" s="51"/>
      <c r="O17" s="51"/>
      <c r="P17" s="52"/>
    </row>
    <row r="18" spans="2:16" ht="14.25" customHeight="1">
      <c r="B18" s="41">
        <v>7</v>
      </c>
      <c r="C18" s="117"/>
      <c r="D18" s="93"/>
      <c r="E18" s="93"/>
      <c r="F18" s="93"/>
      <c r="G18" s="93"/>
      <c r="H18" s="93"/>
      <c r="I18" s="93"/>
      <c r="J18" s="93"/>
      <c r="K18" s="94"/>
      <c r="M18" s="60"/>
      <c r="N18" s="51"/>
      <c r="O18" s="51"/>
      <c r="P18" s="52"/>
    </row>
    <row r="19" spans="2:16" ht="14.25" customHeight="1">
      <c r="B19" s="41">
        <v>8</v>
      </c>
      <c r="C19" s="117"/>
      <c r="D19" s="93"/>
      <c r="E19" s="93"/>
      <c r="F19" s="93"/>
      <c r="G19" s="93"/>
      <c r="H19" s="93"/>
      <c r="I19" s="93"/>
      <c r="J19" s="93"/>
      <c r="K19" s="94"/>
      <c r="M19" s="60"/>
      <c r="N19" s="51"/>
      <c r="O19" s="51"/>
      <c r="P19" s="52"/>
    </row>
    <row r="20" spans="2:16" ht="14.25" customHeight="1">
      <c r="B20" s="41">
        <v>9</v>
      </c>
      <c r="C20" s="117"/>
      <c r="D20" s="93"/>
      <c r="E20" s="93"/>
      <c r="F20" s="93"/>
      <c r="G20" s="93"/>
      <c r="H20" s="93"/>
      <c r="I20" s="93"/>
      <c r="J20" s="93"/>
      <c r="K20" s="94"/>
      <c r="M20" s="60"/>
      <c r="N20" s="51"/>
      <c r="O20" s="51"/>
      <c r="P20" s="52"/>
    </row>
    <row r="21" spans="2:16" ht="14.25" customHeight="1"/>
    <row r="22" spans="2:16" ht="14.25" customHeight="1"/>
    <row r="23" spans="2:16" ht="14.25" customHeight="1"/>
    <row r="24" spans="2:16" ht="14.25" customHeight="1"/>
    <row r="25" spans="2:16" ht="14.25" customHeight="1"/>
    <row r="26" spans="2:16" ht="14.25" customHeight="1"/>
    <row r="27" spans="2:16" ht="14.25" customHeight="1"/>
    <row r="28" spans="2:16" ht="14.25" customHeight="1"/>
    <row r="29" spans="2:16" ht="14.25" customHeight="1"/>
    <row r="30" spans="2:16" ht="14.25" customHeight="1"/>
    <row r="31" spans="2:16" ht="14.25" customHeight="1"/>
    <row r="32" spans="2: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C2:G2"/>
    <mergeCell ref="C3:G3"/>
    <mergeCell ref="C4:G4"/>
    <mergeCell ref="B5:C5"/>
    <mergeCell ref="M8:O8"/>
    <mergeCell ref="P8:P9"/>
    <mergeCell ref="D9:I9"/>
    <mergeCell ref="C18:K18"/>
    <mergeCell ref="C19:K19"/>
    <mergeCell ref="C20:K20"/>
    <mergeCell ref="C11:E11"/>
    <mergeCell ref="C12:K12"/>
    <mergeCell ref="C13:K13"/>
    <mergeCell ref="C14:K14"/>
    <mergeCell ref="C15:K15"/>
    <mergeCell ref="C16:K16"/>
    <mergeCell ref="C17:K17"/>
  </mergeCells>
  <hyperlinks>
    <hyperlink ref="V2" location="'REQ. NO FUN. GEN'!A1" display="Volver" xr:uid="{00000000-0004-0000-0D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V1003"/>
  <sheetViews>
    <sheetView workbookViewId="0">
      <selection activeCell="R55" sqref="R55"/>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32</v>
      </c>
      <c r="C2" s="126" t="s">
        <v>33</v>
      </c>
      <c r="D2" s="104"/>
      <c r="E2" s="104"/>
      <c r="F2" s="104"/>
      <c r="G2" s="104"/>
      <c r="V2" s="56"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c r="S8" s="53"/>
    </row>
    <row r="9" spans="2:22" ht="14.25" customHeight="1">
      <c r="B9" s="35"/>
      <c r="C9" s="125" t="s">
        <v>280</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5.75" customHeight="1">
      <c r="B12" s="41">
        <v>1</v>
      </c>
      <c r="C12" s="117" t="s">
        <v>281</v>
      </c>
      <c r="D12" s="93"/>
      <c r="E12" s="93"/>
      <c r="F12" s="93"/>
      <c r="G12" s="93"/>
      <c r="H12" s="93"/>
      <c r="I12" s="93"/>
      <c r="J12" s="93"/>
      <c r="K12" s="94"/>
      <c r="L12" s="42"/>
      <c r="M12" s="43" t="s">
        <v>46</v>
      </c>
      <c r="N12" s="43"/>
      <c r="O12" s="43"/>
      <c r="P12" s="43"/>
    </row>
    <row r="13" spans="2:22" ht="15.75" customHeight="1">
      <c r="B13" s="35">
        <v>2</v>
      </c>
      <c r="C13" s="117" t="s">
        <v>282</v>
      </c>
      <c r="D13" s="93"/>
      <c r="E13" s="93"/>
      <c r="F13" s="93"/>
      <c r="G13" s="93"/>
      <c r="H13" s="93"/>
      <c r="I13" s="93"/>
      <c r="J13" s="93"/>
      <c r="K13" s="94"/>
      <c r="L13" s="44"/>
      <c r="M13" s="43" t="s">
        <v>46</v>
      </c>
      <c r="N13" s="43"/>
      <c r="O13" s="43"/>
      <c r="P13" s="43"/>
    </row>
    <row r="14" spans="2:22" ht="32.25" customHeight="1">
      <c r="B14" s="41">
        <v>3</v>
      </c>
      <c r="C14" s="117" t="s">
        <v>283</v>
      </c>
      <c r="D14" s="93"/>
      <c r="E14" s="93"/>
      <c r="F14" s="93"/>
      <c r="G14" s="93"/>
      <c r="H14" s="93"/>
      <c r="I14" s="93"/>
      <c r="J14" s="93"/>
      <c r="K14" s="94"/>
      <c r="M14" s="43" t="s">
        <v>46</v>
      </c>
      <c r="N14" s="43"/>
      <c r="O14" s="43"/>
      <c r="P14" s="43"/>
    </row>
    <row r="15" spans="2:22" ht="46.5" customHeight="1">
      <c r="B15" s="41">
        <v>4</v>
      </c>
      <c r="C15" s="117" t="s">
        <v>675</v>
      </c>
      <c r="D15" s="93"/>
      <c r="E15" s="93"/>
      <c r="F15" s="93"/>
      <c r="G15" s="93"/>
      <c r="H15" s="93"/>
      <c r="I15" s="93"/>
      <c r="J15" s="93"/>
      <c r="K15" s="94"/>
      <c r="M15" s="43" t="s">
        <v>46</v>
      </c>
      <c r="N15" s="43"/>
      <c r="O15" s="43"/>
      <c r="P15" s="43"/>
      <c r="R15" s="47"/>
    </row>
    <row r="16" spans="2:22" ht="38.25" customHeight="1">
      <c r="B16" s="35">
        <v>5</v>
      </c>
      <c r="C16" s="117" t="s">
        <v>790</v>
      </c>
      <c r="D16" s="93"/>
      <c r="E16" s="93"/>
      <c r="F16" s="93"/>
      <c r="G16" s="93"/>
      <c r="H16" s="93"/>
      <c r="I16" s="93"/>
      <c r="J16" s="93"/>
      <c r="K16" s="94"/>
      <c r="M16" s="43" t="s">
        <v>46</v>
      </c>
      <c r="N16" s="43"/>
      <c r="O16" s="43"/>
      <c r="P16" s="43"/>
      <c r="R16" s="47"/>
    </row>
    <row r="17" spans="2:18" ht="35.25" customHeight="1">
      <c r="B17" s="41">
        <v>6</v>
      </c>
      <c r="C17" s="117" t="s">
        <v>284</v>
      </c>
      <c r="D17" s="93"/>
      <c r="E17" s="93"/>
      <c r="F17" s="93"/>
      <c r="G17" s="93"/>
      <c r="H17" s="93"/>
      <c r="I17" s="93"/>
      <c r="J17" s="93"/>
      <c r="K17" s="94"/>
      <c r="L17" s="42"/>
      <c r="M17" s="43" t="s">
        <v>46</v>
      </c>
      <c r="N17" s="43"/>
      <c r="O17" s="43"/>
      <c r="P17" s="43"/>
    </row>
    <row r="18" spans="2:18" ht="33" customHeight="1">
      <c r="B18" s="41">
        <v>7</v>
      </c>
      <c r="C18" s="117" t="s">
        <v>285</v>
      </c>
      <c r="D18" s="93"/>
      <c r="E18" s="93"/>
      <c r="F18" s="93"/>
      <c r="G18" s="93"/>
      <c r="H18" s="93"/>
      <c r="I18" s="93"/>
      <c r="J18" s="93"/>
      <c r="K18" s="94"/>
      <c r="L18" s="44"/>
      <c r="M18" s="43" t="s">
        <v>46</v>
      </c>
      <c r="N18" s="43"/>
      <c r="O18" s="43"/>
      <c r="P18" s="43"/>
    </row>
    <row r="19" spans="2:18" ht="50.25" customHeight="1">
      <c r="B19" s="35">
        <v>8</v>
      </c>
      <c r="C19" s="117" t="s">
        <v>286</v>
      </c>
      <c r="D19" s="93"/>
      <c r="E19" s="93"/>
      <c r="F19" s="93"/>
      <c r="G19" s="93"/>
      <c r="H19" s="93"/>
      <c r="I19" s="93"/>
      <c r="J19" s="93"/>
      <c r="K19" s="94"/>
      <c r="L19" s="44"/>
      <c r="M19" s="43" t="s">
        <v>46</v>
      </c>
      <c r="N19" s="43"/>
      <c r="O19" s="43"/>
      <c r="P19" s="43"/>
    </row>
    <row r="20" spans="2:18" ht="50.25" customHeight="1">
      <c r="B20" s="41">
        <v>9</v>
      </c>
      <c r="C20" s="117" t="s">
        <v>287</v>
      </c>
      <c r="D20" s="93"/>
      <c r="E20" s="93"/>
      <c r="F20" s="93"/>
      <c r="G20" s="93"/>
      <c r="H20" s="93"/>
      <c r="I20" s="93"/>
      <c r="J20" s="93"/>
      <c r="K20" s="94"/>
      <c r="L20" s="44"/>
      <c r="M20" s="43" t="s">
        <v>46</v>
      </c>
      <c r="N20" s="43"/>
      <c r="O20" s="43"/>
      <c r="P20" s="43"/>
    </row>
    <row r="21" spans="2:18" ht="31.5" customHeight="1">
      <c r="B21" s="41">
        <v>10</v>
      </c>
      <c r="C21" s="117" t="s">
        <v>288</v>
      </c>
      <c r="D21" s="93"/>
      <c r="E21" s="93"/>
      <c r="F21" s="93"/>
      <c r="G21" s="93"/>
      <c r="H21" s="93"/>
      <c r="I21" s="93"/>
      <c r="J21" s="93"/>
      <c r="K21" s="94"/>
      <c r="L21" s="44"/>
      <c r="M21" s="43" t="s">
        <v>46</v>
      </c>
      <c r="N21" s="43"/>
      <c r="O21" s="43"/>
      <c r="P21" s="43"/>
    </row>
    <row r="22" spans="2:18" ht="35.25" customHeight="1">
      <c r="B22" s="35">
        <v>11</v>
      </c>
      <c r="C22" s="117" t="s">
        <v>289</v>
      </c>
      <c r="D22" s="93"/>
      <c r="E22" s="93"/>
      <c r="F22" s="93"/>
      <c r="G22" s="93"/>
      <c r="H22" s="93"/>
      <c r="I22" s="93"/>
      <c r="J22" s="93"/>
      <c r="K22" s="94"/>
      <c r="M22" s="43" t="s">
        <v>46</v>
      </c>
      <c r="N22" s="43"/>
      <c r="O22" s="43"/>
      <c r="P22" s="43"/>
    </row>
    <row r="23" spans="2:18" ht="42.75" customHeight="1">
      <c r="B23" s="41">
        <v>12</v>
      </c>
      <c r="C23" s="117" t="s">
        <v>290</v>
      </c>
      <c r="D23" s="93"/>
      <c r="E23" s="93"/>
      <c r="F23" s="93"/>
      <c r="G23" s="93"/>
      <c r="H23" s="93"/>
      <c r="I23" s="93"/>
      <c r="J23" s="93"/>
      <c r="K23" s="94"/>
      <c r="M23" s="43" t="s">
        <v>46</v>
      </c>
      <c r="N23" s="43"/>
      <c r="O23" s="43"/>
      <c r="P23" s="43"/>
    </row>
    <row r="24" spans="2:18" ht="36" customHeight="1">
      <c r="B24" s="41">
        <v>13</v>
      </c>
      <c r="C24" s="117" t="s">
        <v>291</v>
      </c>
      <c r="D24" s="93"/>
      <c r="E24" s="93"/>
      <c r="F24" s="93"/>
      <c r="G24" s="93"/>
      <c r="H24" s="93"/>
      <c r="I24" s="93"/>
      <c r="J24" s="93"/>
      <c r="K24" s="94"/>
      <c r="L24" s="42"/>
      <c r="M24" s="43" t="s">
        <v>46</v>
      </c>
      <c r="N24" s="43"/>
      <c r="O24" s="43"/>
      <c r="P24" s="43"/>
    </row>
    <row r="25" spans="2:18" ht="30" customHeight="1">
      <c r="B25" s="35">
        <v>14</v>
      </c>
      <c r="C25" s="117" t="s">
        <v>292</v>
      </c>
      <c r="D25" s="93"/>
      <c r="E25" s="93"/>
      <c r="F25" s="93"/>
      <c r="G25" s="93"/>
      <c r="H25" s="93"/>
      <c r="I25" s="93"/>
      <c r="J25" s="93"/>
      <c r="K25" s="94"/>
      <c r="L25" s="46"/>
      <c r="M25" s="43" t="s">
        <v>46</v>
      </c>
      <c r="N25" s="43"/>
      <c r="O25" s="43"/>
      <c r="P25" s="43"/>
    </row>
    <row r="26" spans="2:18" ht="31.5" customHeight="1">
      <c r="B26" s="41">
        <v>15</v>
      </c>
      <c r="C26" s="117" t="s">
        <v>293</v>
      </c>
      <c r="D26" s="93"/>
      <c r="E26" s="93"/>
      <c r="F26" s="93"/>
      <c r="G26" s="93"/>
      <c r="H26" s="93"/>
      <c r="I26" s="93"/>
      <c r="J26" s="93"/>
      <c r="K26" s="94"/>
      <c r="L26" s="46"/>
      <c r="M26" s="43" t="s">
        <v>46</v>
      </c>
      <c r="N26" s="43"/>
      <c r="O26" s="43"/>
      <c r="P26" s="43"/>
      <c r="R26" s="53"/>
    </row>
    <row r="27" spans="2:18" ht="33" customHeight="1">
      <c r="B27" s="41">
        <v>16</v>
      </c>
      <c r="C27" s="117" t="s">
        <v>294</v>
      </c>
      <c r="D27" s="93"/>
      <c r="E27" s="93"/>
      <c r="F27" s="93"/>
      <c r="G27" s="93"/>
      <c r="H27" s="93"/>
      <c r="I27" s="93"/>
      <c r="J27" s="93"/>
      <c r="K27" s="94"/>
      <c r="L27" s="46"/>
      <c r="M27" s="43"/>
      <c r="N27" s="43" t="s">
        <v>46</v>
      </c>
      <c r="O27" s="43"/>
      <c r="P27" s="43"/>
      <c r="R27" s="53"/>
    </row>
    <row r="28" spans="2:18" ht="29.25" customHeight="1">
      <c r="B28" s="35">
        <v>17</v>
      </c>
      <c r="C28" s="117" t="s">
        <v>295</v>
      </c>
      <c r="D28" s="93"/>
      <c r="E28" s="93"/>
      <c r="F28" s="93"/>
      <c r="G28" s="93"/>
      <c r="H28" s="93"/>
      <c r="I28" s="93"/>
      <c r="J28" s="93"/>
      <c r="K28" s="94"/>
      <c r="L28" s="46"/>
      <c r="M28" s="43" t="s">
        <v>46</v>
      </c>
      <c r="N28" s="43"/>
      <c r="O28" s="43"/>
      <c r="P28" s="43"/>
      <c r="R28" s="53"/>
    </row>
    <row r="29" spans="2:18" ht="33" customHeight="1">
      <c r="B29" s="41">
        <v>18</v>
      </c>
      <c r="C29" s="117" t="s">
        <v>296</v>
      </c>
      <c r="D29" s="93"/>
      <c r="E29" s="93"/>
      <c r="F29" s="93"/>
      <c r="G29" s="93"/>
      <c r="H29" s="93"/>
      <c r="I29" s="93"/>
      <c r="J29" s="93"/>
      <c r="K29" s="94"/>
      <c r="L29" s="46"/>
      <c r="M29" s="43" t="s">
        <v>46</v>
      </c>
      <c r="N29" s="43"/>
      <c r="O29" s="43"/>
      <c r="P29" s="43"/>
      <c r="R29" s="53"/>
    </row>
    <row r="30" spans="2:18" ht="29.25" customHeight="1">
      <c r="B30" s="41">
        <v>19</v>
      </c>
      <c r="C30" s="117" t="s">
        <v>297</v>
      </c>
      <c r="D30" s="93"/>
      <c r="E30" s="93"/>
      <c r="F30" s="93"/>
      <c r="G30" s="93"/>
      <c r="H30" s="93"/>
      <c r="I30" s="93"/>
      <c r="J30" s="93"/>
      <c r="K30" s="94"/>
      <c r="L30" s="46"/>
      <c r="M30" s="43" t="s">
        <v>46</v>
      </c>
      <c r="N30" s="43"/>
      <c r="O30" s="43"/>
      <c r="P30" s="43"/>
      <c r="R30" s="53"/>
    </row>
    <row r="31" spans="2:18" ht="32.25" customHeight="1">
      <c r="B31" s="35">
        <v>20</v>
      </c>
      <c r="C31" s="117" t="s">
        <v>676</v>
      </c>
      <c r="D31" s="93"/>
      <c r="E31" s="93"/>
      <c r="F31" s="93"/>
      <c r="G31" s="93"/>
      <c r="H31" s="93"/>
      <c r="I31" s="93"/>
      <c r="J31" s="93"/>
      <c r="K31" s="94"/>
      <c r="L31" s="46"/>
      <c r="M31" s="43" t="s">
        <v>46</v>
      </c>
      <c r="N31" s="43"/>
      <c r="O31" s="43"/>
      <c r="P31" s="43"/>
      <c r="R31" s="53"/>
    </row>
    <row r="32" spans="2:18" ht="15.75" customHeight="1">
      <c r="B32" s="41">
        <v>21</v>
      </c>
      <c r="C32" s="117" t="s">
        <v>299</v>
      </c>
      <c r="D32" s="93"/>
      <c r="E32" s="93"/>
      <c r="F32" s="93"/>
      <c r="G32" s="93"/>
      <c r="H32" s="93"/>
      <c r="I32" s="93"/>
      <c r="J32" s="93"/>
      <c r="K32" s="94"/>
      <c r="L32" s="46"/>
      <c r="M32" s="43" t="s">
        <v>46</v>
      </c>
      <c r="N32" s="43"/>
      <c r="O32" s="43"/>
      <c r="P32" s="43"/>
    </row>
    <row r="33" spans="2:18" ht="14.25" customHeight="1">
      <c r="B33" s="41">
        <v>22</v>
      </c>
      <c r="C33" s="117" t="s">
        <v>300</v>
      </c>
      <c r="D33" s="93"/>
      <c r="E33" s="93"/>
      <c r="F33" s="93"/>
      <c r="G33" s="93"/>
      <c r="H33" s="93"/>
      <c r="I33" s="93"/>
      <c r="J33" s="93"/>
      <c r="K33" s="94"/>
      <c r="L33" s="46"/>
      <c r="M33" s="43" t="s">
        <v>46</v>
      </c>
      <c r="N33" s="43"/>
      <c r="O33" s="43"/>
      <c r="P33" s="43"/>
      <c r="R33" s="53"/>
    </row>
    <row r="34" spans="2:18" ht="14.25" customHeight="1">
      <c r="B34" s="35">
        <v>23</v>
      </c>
      <c r="C34" s="117" t="s">
        <v>301</v>
      </c>
      <c r="D34" s="93"/>
      <c r="E34" s="93"/>
      <c r="F34" s="93"/>
      <c r="G34" s="93"/>
      <c r="H34" s="93"/>
      <c r="I34" s="93"/>
      <c r="J34" s="93"/>
      <c r="K34" s="94"/>
      <c r="L34" s="46"/>
      <c r="M34" s="43" t="s">
        <v>46</v>
      </c>
      <c r="N34" s="43"/>
      <c r="O34" s="43"/>
      <c r="P34" s="43"/>
    </row>
    <row r="35" spans="2:18" ht="27.75" customHeight="1">
      <c r="B35" s="41">
        <v>24</v>
      </c>
      <c r="C35" s="117" t="s">
        <v>780</v>
      </c>
      <c r="D35" s="93"/>
      <c r="E35" s="93"/>
      <c r="F35" s="93"/>
      <c r="G35" s="93"/>
      <c r="H35" s="93"/>
      <c r="I35" s="93"/>
      <c r="J35" s="93"/>
      <c r="K35" s="94"/>
      <c r="L35" s="46"/>
      <c r="M35" s="43" t="s">
        <v>46</v>
      </c>
      <c r="N35" s="43"/>
      <c r="O35" s="43"/>
      <c r="P35" s="43"/>
      <c r="R35" s="47"/>
    </row>
    <row r="36" spans="2:18" ht="15.75" customHeight="1">
      <c r="B36" s="41">
        <v>25</v>
      </c>
      <c r="C36" s="117" t="s">
        <v>302</v>
      </c>
      <c r="D36" s="93"/>
      <c r="E36" s="93"/>
      <c r="F36" s="93"/>
      <c r="G36" s="93"/>
      <c r="H36" s="93"/>
      <c r="I36" s="93"/>
      <c r="J36" s="93"/>
      <c r="K36" s="94"/>
      <c r="L36" s="46"/>
      <c r="M36" s="43" t="s">
        <v>46</v>
      </c>
      <c r="N36" s="43"/>
      <c r="O36" s="43"/>
      <c r="P36" s="43"/>
    </row>
    <row r="37" spans="2:18" ht="15.75" customHeight="1">
      <c r="B37" s="35">
        <v>26</v>
      </c>
      <c r="C37" s="117" t="s">
        <v>303</v>
      </c>
      <c r="D37" s="93"/>
      <c r="E37" s="93"/>
      <c r="F37" s="93"/>
      <c r="G37" s="93"/>
      <c r="H37" s="93"/>
      <c r="I37" s="93"/>
      <c r="J37" s="93"/>
      <c r="K37" s="94"/>
      <c r="L37" s="46"/>
      <c r="M37" s="43" t="s">
        <v>46</v>
      </c>
      <c r="N37" s="43"/>
      <c r="O37" s="43"/>
      <c r="P37" s="43"/>
    </row>
    <row r="38" spans="2:18" ht="15.75" customHeight="1">
      <c r="B38" s="41">
        <v>27</v>
      </c>
      <c r="C38" s="117" t="s">
        <v>782</v>
      </c>
      <c r="D38" s="93"/>
      <c r="E38" s="93"/>
      <c r="F38" s="93"/>
      <c r="G38" s="93"/>
      <c r="H38" s="93"/>
      <c r="I38" s="93"/>
      <c r="J38" s="93"/>
      <c r="K38" s="94"/>
      <c r="L38" s="46"/>
      <c r="M38" s="43" t="s">
        <v>46</v>
      </c>
      <c r="N38" s="43"/>
      <c r="O38" s="43"/>
      <c r="P38" s="43"/>
    </row>
    <row r="39" spans="2:18" ht="15.75" customHeight="1">
      <c r="B39" s="41">
        <v>28</v>
      </c>
      <c r="C39" s="117" t="s">
        <v>781</v>
      </c>
      <c r="D39" s="93"/>
      <c r="E39" s="93"/>
      <c r="F39" s="93"/>
      <c r="G39" s="93"/>
      <c r="H39" s="93"/>
      <c r="I39" s="93"/>
      <c r="J39" s="93"/>
      <c r="K39" s="94"/>
      <c r="L39" s="46"/>
      <c r="M39" s="43" t="s">
        <v>46</v>
      </c>
      <c r="N39" s="43"/>
      <c r="O39" s="43"/>
      <c r="P39" s="43"/>
    </row>
    <row r="40" spans="2:18" ht="15.75" customHeight="1">
      <c r="B40" s="35">
        <v>29</v>
      </c>
      <c r="C40" s="117" t="s">
        <v>304</v>
      </c>
      <c r="D40" s="93"/>
      <c r="E40" s="93"/>
      <c r="F40" s="93"/>
      <c r="G40" s="93"/>
      <c r="H40" s="93"/>
      <c r="I40" s="93"/>
      <c r="J40" s="93"/>
      <c r="K40" s="94"/>
      <c r="L40" s="46"/>
      <c r="M40" s="43" t="s">
        <v>46</v>
      </c>
      <c r="N40" s="43"/>
      <c r="O40" s="43"/>
      <c r="P40" s="43"/>
    </row>
    <row r="41" spans="2:18" ht="47.25" customHeight="1">
      <c r="B41" s="41">
        <v>30</v>
      </c>
      <c r="C41" s="117" t="s">
        <v>305</v>
      </c>
      <c r="D41" s="93"/>
      <c r="E41" s="93"/>
      <c r="F41" s="93"/>
      <c r="G41" s="93"/>
      <c r="H41" s="93"/>
      <c r="I41" s="93"/>
      <c r="J41" s="93"/>
      <c r="K41" s="94"/>
      <c r="L41" s="46"/>
      <c r="M41" s="43" t="s">
        <v>46</v>
      </c>
      <c r="N41" s="43"/>
      <c r="O41" s="43"/>
      <c r="P41" s="43"/>
      <c r="R41" s="47" t="s">
        <v>306</v>
      </c>
    </row>
    <row r="42" spans="2:18" ht="50.25" customHeight="1">
      <c r="B42" s="41">
        <v>31</v>
      </c>
      <c r="C42" s="117" t="s">
        <v>307</v>
      </c>
      <c r="D42" s="93"/>
      <c r="E42" s="93"/>
      <c r="F42" s="93"/>
      <c r="G42" s="93"/>
      <c r="H42" s="93"/>
      <c r="I42" s="93"/>
      <c r="J42" s="93"/>
      <c r="K42" s="94"/>
      <c r="L42" s="46"/>
      <c r="M42" s="43" t="s">
        <v>46</v>
      </c>
      <c r="N42" s="43"/>
      <c r="O42" s="43"/>
      <c r="P42" s="43"/>
    </row>
    <row r="43" spans="2:18" ht="47.25" customHeight="1">
      <c r="B43" s="35">
        <v>32</v>
      </c>
      <c r="C43" s="117" t="s">
        <v>308</v>
      </c>
      <c r="D43" s="93"/>
      <c r="E43" s="93"/>
      <c r="F43" s="93"/>
      <c r="G43" s="93"/>
      <c r="H43" s="93"/>
      <c r="I43" s="93"/>
      <c r="J43" s="93"/>
      <c r="K43" s="94"/>
      <c r="L43" s="46"/>
      <c r="M43" s="43" t="s">
        <v>46</v>
      </c>
      <c r="N43" s="43"/>
      <c r="O43" s="43"/>
      <c r="P43" s="43"/>
    </row>
    <row r="44" spans="2:18" ht="33.75" customHeight="1">
      <c r="B44" s="41">
        <v>33</v>
      </c>
      <c r="C44" s="117" t="s">
        <v>783</v>
      </c>
      <c r="D44" s="93"/>
      <c r="E44" s="93"/>
      <c r="F44" s="93"/>
      <c r="G44" s="93"/>
      <c r="H44" s="93"/>
      <c r="I44" s="93"/>
      <c r="J44" s="93"/>
      <c r="K44" s="94"/>
      <c r="L44" s="46"/>
      <c r="M44" s="43" t="s">
        <v>46</v>
      </c>
      <c r="N44" s="43"/>
      <c r="O44" s="43"/>
      <c r="P44" s="43"/>
      <c r="R44" s="47"/>
    </row>
    <row r="45" spans="2:18" ht="16.5" customHeight="1">
      <c r="B45" s="41">
        <v>34</v>
      </c>
      <c r="C45" s="117" t="s">
        <v>309</v>
      </c>
      <c r="D45" s="93"/>
      <c r="E45" s="93"/>
      <c r="F45" s="93"/>
      <c r="G45" s="93"/>
      <c r="H45" s="93"/>
      <c r="I45" s="93"/>
      <c r="J45" s="93"/>
      <c r="K45" s="94"/>
      <c r="L45" s="46"/>
      <c r="M45" s="43" t="s">
        <v>46</v>
      </c>
      <c r="N45" s="43"/>
      <c r="O45" s="43"/>
      <c r="P45" s="43"/>
      <c r="R45" s="47"/>
    </row>
    <row r="46" spans="2:18" ht="37.5" customHeight="1">
      <c r="B46" s="35">
        <v>35</v>
      </c>
      <c r="C46" s="117" t="s">
        <v>784</v>
      </c>
      <c r="D46" s="93"/>
      <c r="E46" s="93"/>
      <c r="F46" s="93"/>
      <c r="G46" s="93"/>
      <c r="H46" s="93"/>
      <c r="I46" s="93"/>
      <c r="J46" s="93"/>
      <c r="K46" s="94"/>
      <c r="L46" s="46"/>
      <c r="M46" s="43" t="s">
        <v>46</v>
      </c>
      <c r="N46" s="43"/>
      <c r="O46" s="43"/>
      <c r="P46" s="43"/>
      <c r="R46" s="47"/>
    </row>
    <row r="47" spans="2:18" ht="30.75" customHeight="1">
      <c r="B47" s="41">
        <v>36</v>
      </c>
      <c r="C47" s="117" t="s">
        <v>310</v>
      </c>
      <c r="D47" s="93"/>
      <c r="E47" s="93"/>
      <c r="F47" s="93"/>
      <c r="G47" s="93"/>
      <c r="H47" s="93"/>
      <c r="I47" s="93"/>
      <c r="J47" s="93"/>
      <c r="K47" s="94"/>
      <c r="L47" s="46"/>
      <c r="M47" s="43" t="s">
        <v>46</v>
      </c>
      <c r="N47" s="43"/>
      <c r="O47" s="43"/>
      <c r="P47" s="43"/>
    </row>
    <row r="48" spans="2:18" ht="14.25" customHeight="1">
      <c r="B48" s="41">
        <v>37</v>
      </c>
      <c r="C48" s="117" t="s">
        <v>311</v>
      </c>
      <c r="D48" s="93"/>
      <c r="E48" s="93"/>
      <c r="F48" s="93"/>
      <c r="G48" s="93"/>
      <c r="H48" s="93"/>
      <c r="I48" s="93"/>
      <c r="J48" s="93"/>
      <c r="K48" s="94"/>
      <c r="L48" s="46"/>
      <c r="M48" s="43" t="s">
        <v>46</v>
      </c>
      <c r="N48" s="43"/>
      <c r="O48" s="43"/>
      <c r="P48" s="43"/>
    </row>
    <row r="49" spans="2:18" ht="14.25" customHeight="1">
      <c r="B49" s="35">
        <v>38</v>
      </c>
      <c r="C49" s="117" t="s">
        <v>312</v>
      </c>
      <c r="D49" s="93"/>
      <c r="E49" s="93"/>
      <c r="F49" s="93"/>
      <c r="G49" s="93"/>
      <c r="H49" s="93"/>
      <c r="I49" s="93"/>
      <c r="J49" s="93"/>
      <c r="K49" s="94"/>
      <c r="L49" s="46"/>
      <c r="M49" s="43"/>
      <c r="N49" s="43" t="s">
        <v>46</v>
      </c>
      <c r="O49" s="43"/>
      <c r="P49" s="43"/>
    </row>
    <row r="50" spans="2:18" ht="14.25" customHeight="1">
      <c r="B50" s="41">
        <v>39</v>
      </c>
      <c r="C50" s="117" t="s">
        <v>313</v>
      </c>
      <c r="D50" s="93"/>
      <c r="E50" s="93"/>
      <c r="F50" s="93"/>
      <c r="G50" s="93"/>
      <c r="H50" s="93"/>
      <c r="I50" s="93"/>
      <c r="J50" s="93"/>
      <c r="K50" s="94"/>
      <c r="L50" s="46"/>
      <c r="M50" s="43" t="s">
        <v>46</v>
      </c>
      <c r="N50" s="43"/>
      <c r="O50" s="43"/>
      <c r="P50" s="43"/>
    </row>
    <row r="51" spans="2:18" ht="14.25" customHeight="1">
      <c r="B51" s="41">
        <v>40</v>
      </c>
      <c r="C51" s="117" t="s">
        <v>314</v>
      </c>
      <c r="D51" s="93"/>
      <c r="E51" s="93"/>
      <c r="F51" s="93"/>
      <c r="G51" s="93"/>
      <c r="H51" s="93"/>
      <c r="I51" s="93"/>
      <c r="J51" s="93"/>
      <c r="K51" s="94"/>
      <c r="L51" s="46"/>
      <c r="M51" s="43" t="s">
        <v>46</v>
      </c>
      <c r="N51" s="43"/>
      <c r="O51" s="43"/>
      <c r="P51" s="43"/>
    </row>
    <row r="52" spans="2:18" ht="14.25" customHeight="1">
      <c r="B52" s="35">
        <v>41</v>
      </c>
      <c r="C52" s="117" t="s">
        <v>315</v>
      </c>
      <c r="D52" s="93"/>
      <c r="E52" s="93"/>
      <c r="F52" s="93"/>
      <c r="G52" s="93"/>
      <c r="H52" s="93"/>
      <c r="I52" s="93"/>
      <c r="J52" s="93"/>
      <c r="K52" s="94"/>
      <c r="L52" s="46"/>
      <c r="M52" s="43" t="s">
        <v>46</v>
      </c>
      <c r="N52" s="43"/>
      <c r="O52" s="43"/>
      <c r="P52" s="43"/>
    </row>
    <row r="53" spans="2:18" ht="33" customHeight="1">
      <c r="B53" s="41">
        <v>42</v>
      </c>
      <c r="C53" s="117" t="s">
        <v>316</v>
      </c>
      <c r="D53" s="93"/>
      <c r="E53" s="93"/>
      <c r="F53" s="93"/>
      <c r="G53" s="93"/>
      <c r="H53" s="93"/>
      <c r="I53" s="93"/>
      <c r="J53" s="93"/>
      <c r="K53" s="94"/>
      <c r="L53" s="46"/>
      <c r="M53" s="43" t="s">
        <v>46</v>
      </c>
      <c r="N53" s="43"/>
      <c r="O53" s="43"/>
      <c r="P53" s="43"/>
    </row>
    <row r="54" spans="2:18" ht="14.25" customHeight="1">
      <c r="B54" s="41">
        <v>43</v>
      </c>
      <c r="C54" s="117" t="s">
        <v>317</v>
      </c>
      <c r="D54" s="93"/>
      <c r="E54" s="93"/>
      <c r="F54" s="93"/>
      <c r="G54" s="93"/>
      <c r="H54" s="93"/>
      <c r="I54" s="93"/>
      <c r="J54" s="93"/>
      <c r="K54" s="94"/>
      <c r="L54" s="46"/>
      <c r="M54" s="82"/>
      <c r="N54" s="82" t="s">
        <v>46</v>
      </c>
      <c r="O54" s="43"/>
      <c r="P54" s="43"/>
      <c r="R54" s="80" t="s">
        <v>909</v>
      </c>
    </row>
    <row r="55" spans="2:18" ht="31.5" customHeight="1">
      <c r="B55" s="35">
        <v>44</v>
      </c>
      <c r="C55" s="117" t="s">
        <v>318</v>
      </c>
      <c r="D55" s="93"/>
      <c r="E55" s="93"/>
      <c r="F55" s="93"/>
      <c r="G55" s="93"/>
      <c r="H55" s="93"/>
      <c r="I55" s="93"/>
      <c r="J55" s="93"/>
      <c r="K55" s="94"/>
      <c r="L55" s="46"/>
      <c r="M55" s="43" t="s">
        <v>46</v>
      </c>
      <c r="N55" s="43"/>
      <c r="O55" s="43"/>
      <c r="P55" s="43"/>
    </row>
    <row r="56" spans="2:18" ht="30.75" customHeight="1">
      <c r="B56" s="41">
        <v>45</v>
      </c>
      <c r="C56" s="117" t="s">
        <v>319</v>
      </c>
      <c r="D56" s="93"/>
      <c r="E56" s="93"/>
      <c r="F56" s="93"/>
      <c r="G56" s="93"/>
      <c r="H56" s="93"/>
      <c r="I56" s="93"/>
      <c r="J56" s="93"/>
      <c r="K56" s="94"/>
      <c r="L56" s="46"/>
      <c r="M56" s="43"/>
      <c r="N56" s="43" t="s">
        <v>46</v>
      </c>
      <c r="O56" s="43"/>
      <c r="P56" s="43"/>
    </row>
    <row r="57" spans="2:18" ht="29.25" customHeight="1">
      <c r="B57" s="41">
        <v>46</v>
      </c>
      <c r="C57" s="117" t="s">
        <v>320</v>
      </c>
      <c r="D57" s="93"/>
      <c r="E57" s="93"/>
      <c r="F57" s="93"/>
      <c r="G57" s="93"/>
      <c r="H57" s="93"/>
      <c r="I57" s="93"/>
      <c r="J57" s="93"/>
      <c r="K57" s="94"/>
      <c r="L57" s="46"/>
      <c r="M57" s="43" t="s">
        <v>46</v>
      </c>
      <c r="N57" s="43"/>
      <c r="O57" s="43"/>
      <c r="P57" s="43"/>
    </row>
    <row r="58" spans="2:18" ht="14.25" customHeight="1">
      <c r="B58" s="35">
        <v>47</v>
      </c>
      <c r="C58" s="117"/>
      <c r="D58" s="93"/>
      <c r="E58" s="93"/>
      <c r="F58" s="93"/>
      <c r="G58" s="93"/>
      <c r="H58" s="93"/>
      <c r="I58" s="93"/>
      <c r="J58" s="93"/>
      <c r="K58" s="94"/>
      <c r="L58" s="46"/>
      <c r="M58" s="43"/>
      <c r="N58" s="43"/>
      <c r="O58" s="43"/>
      <c r="P58" s="43"/>
    </row>
    <row r="59" spans="2:18" ht="14.25" customHeight="1">
      <c r="B59" s="41">
        <v>48</v>
      </c>
      <c r="C59" s="117"/>
      <c r="D59" s="93"/>
      <c r="E59" s="93"/>
      <c r="F59" s="93"/>
      <c r="G59" s="93"/>
      <c r="H59" s="93"/>
      <c r="I59" s="93"/>
      <c r="J59" s="93"/>
      <c r="K59" s="94"/>
      <c r="L59" s="46"/>
      <c r="M59" s="43"/>
      <c r="N59" s="43"/>
      <c r="O59" s="43"/>
      <c r="P59" s="43"/>
    </row>
    <row r="60" spans="2:18" ht="21.75" customHeight="1">
      <c r="B60" s="41">
        <v>49</v>
      </c>
      <c r="C60" s="117"/>
      <c r="D60" s="93"/>
      <c r="E60" s="93"/>
      <c r="F60" s="93"/>
      <c r="G60" s="93"/>
      <c r="H60" s="93"/>
      <c r="I60" s="93"/>
      <c r="J60" s="93"/>
      <c r="K60" s="94"/>
      <c r="L60" s="46"/>
      <c r="M60" s="43"/>
      <c r="N60" s="43"/>
      <c r="O60" s="43"/>
      <c r="P60" s="43"/>
    </row>
    <row r="61" spans="2:18" ht="14.25" customHeight="1">
      <c r="B61" s="35">
        <v>50</v>
      </c>
      <c r="C61" s="117"/>
      <c r="D61" s="93"/>
      <c r="E61" s="93"/>
      <c r="F61" s="93"/>
      <c r="G61" s="93"/>
      <c r="H61" s="93"/>
      <c r="I61" s="93"/>
      <c r="J61" s="93"/>
      <c r="K61" s="94"/>
      <c r="L61" s="46"/>
      <c r="M61" s="43"/>
      <c r="N61" s="43"/>
      <c r="O61" s="43"/>
      <c r="P61" s="43"/>
    </row>
    <row r="62" spans="2:18" ht="14.25" customHeight="1">
      <c r="B62" s="41">
        <v>51</v>
      </c>
      <c r="C62" s="117"/>
      <c r="D62" s="93"/>
      <c r="E62" s="93"/>
      <c r="F62" s="93"/>
      <c r="G62" s="93"/>
      <c r="H62" s="93"/>
      <c r="I62" s="93"/>
      <c r="J62" s="93"/>
      <c r="K62" s="94"/>
      <c r="L62" s="46"/>
      <c r="M62" s="43"/>
      <c r="N62" s="43"/>
      <c r="O62" s="43"/>
      <c r="P62" s="43"/>
    </row>
    <row r="63" spans="2:18" ht="19.5" customHeight="1">
      <c r="B63" s="41">
        <v>52</v>
      </c>
      <c r="C63" s="117"/>
      <c r="D63" s="93"/>
      <c r="E63" s="93"/>
      <c r="F63" s="93"/>
      <c r="G63" s="93"/>
      <c r="H63" s="93"/>
      <c r="I63" s="93"/>
      <c r="J63" s="93"/>
      <c r="K63" s="94"/>
      <c r="L63" s="46"/>
      <c r="M63" s="43"/>
      <c r="N63" s="43"/>
      <c r="O63" s="43"/>
      <c r="P63" s="43"/>
    </row>
    <row r="64" spans="2:18" ht="14.25" customHeight="1">
      <c r="B64" s="35">
        <v>53</v>
      </c>
      <c r="C64" s="117"/>
      <c r="D64" s="93"/>
      <c r="E64" s="93"/>
      <c r="F64" s="93"/>
      <c r="G64" s="93"/>
      <c r="H64" s="93"/>
      <c r="I64" s="93"/>
      <c r="J64" s="93"/>
      <c r="K64" s="94"/>
      <c r="L64" s="46"/>
      <c r="M64" s="43"/>
      <c r="N64" s="43"/>
      <c r="O64" s="43"/>
      <c r="P64" s="43"/>
    </row>
    <row r="65" spans="2:16" ht="14.25" customHeight="1">
      <c r="B65" s="41">
        <v>54</v>
      </c>
      <c r="C65" s="117"/>
      <c r="D65" s="93"/>
      <c r="E65" s="93"/>
      <c r="F65" s="93"/>
      <c r="G65" s="93"/>
      <c r="H65" s="93"/>
      <c r="I65" s="93"/>
      <c r="J65" s="93"/>
      <c r="K65" s="94"/>
      <c r="L65" s="46"/>
      <c r="M65" s="43"/>
      <c r="N65" s="43"/>
      <c r="O65" s="43"/>
      <c r="P65" s="43"/>
    </row>
    <row r="66" spans="2:16" ht="12" customHeight="1">
      <c r="B66" s="41">
        <v>55</v>
      </c>
      <c r="C66" s="117"/>
      <c r="D66" s="93"/>
      <c r="E66" s="93"/>
      <c r="F66" s="93"/>
      <c r="G66" s="93"/>
      <c r="H66" s="93"/>
      <c r="I66" s="93"/>
      <c r="J66" s="93"/>
      <c r="K66" s="94"/>
      <c r="L66" s="46"/>
      <c r="M66" s="43"/>
      <c r="N66" s="43"/>
      <c r="O66" s="43"/>
      <c r="P66" s="43"/>
    </row>
    <row r="67" spans="2:16" ht="14.25" customHeight="1">
      <c r="B67" s="35">
        <v>56</v>
      </c>
      <c r="C67" s="117"/>
      <c r="D67" s="93"/>
      <c r="E67" s="93"/>
      <c r="F67" s="93"/>
      <c r="G67" s="93"/>
      <c r="H67" s="93"/>
      <c r="I67" s="93"/>
      <c r="J67" s="93"/>
      <c r="K67" s="94"/>
      <c r="L67" s="46"/>
      <c r="M67" s="43"/>
      <c r="N67" s="43"/>
      <c r="O67" s="43"/>
      <c r="P67" s="43"/>
    </row>
    <row r="68" spans="2:16" ht="14.25" customHeight="1">
      <c r="B68" s="41">
        <v>57</v>
      </c>
      <c r="C68" s="117"/>
      <c r="D68" s="93"/>
      <c r="E68" s="93"/>
      <c r="F68" s="93"/>
      <c r="G68" s="93"/>
      <c r="H68" s="93"/>
      <c r="I68" s="93"/>
      <c r="J68" s="93"/>
      <c r="K68" s="94"/>
      <c r="L68" s="46"/>
      <c r="M68" s="43"/>
      <c r="N68" s="43"/>
      <c r="O68" s="43"/>
      <c r="P68" s="43"/>
    </row>
    <row r="69" spans="2:16" ht="14.25" customHeight="1">
      <c r="B69" s="41">
        <v>58</v>
      </c>
      <c r="C69" s="117"/>
      <c r="D69" s="93"/>
      <c r="E69" s="93"/>
      <c r="F69" s="93"/>
      <c r="G69" s="93"/>
      <c r="H69" s="93"/>
      <c r="I69" s="93"/>
      <c r="J69" s="93"/>
      <c r="K69" s="94"/>
      <c r="L69" s="46"/>
      <c r="M69" s="43"/>
      <c r="N69" s="43"/>
      <c r="O69" s="43"/>
      <c r="P69" s="43"/>
    </row>
    <row r="70" spans="2:16" ht="14.25" customHeight="1">
      <c r="B70" s="35">
        <v>59</v>
      </c>
      <c r="C70" s="117"/>
      <c r="D70" s="93"/>
      <c r="E70" s="93"/>
      <c r="F70" s="93"/>
      <c r="G70" s="93"/>
      <c r="H70" s="93"/>
      <c r="I70" s="93"/>
      <c r="J70" s="93"/>
      <c r="K70" s="94"/>
      <c r="L70" s="46"/>
      <c r="M70" s="43"/>
      <c r="N70" s="43"/>
      <c r="O70" s="43"/>
      <c r="P70" s="43"/>
    </row>
    <row r="71" spans="2:16" ht="14.25" customHeight="1">
      <c r="B71" s="41">
        <v>60</v>
      </c>
      <c r="C71" s="117"/>
      <c r="D71" s="93"/>
      <c r="E71" s="93"/>
      <c r="F71" s="93"/>
      <c r="G71" s="93"/>
      <c r="H71" s="93"/>
      <c r="I71" s="93"/>
      <c r="J71" s="93"/>
      <c r="K71" s="94"/>
      <c r="L71" s="46"/>
      <c r="M71" s="43"/>
      <c r="N71" s="43"/>
      <c r="O71" s="43"/>
      <c r="P71" s="43"/>
    </row>
    <row r="72" spans="2:16" ht="14.25" customHeight="1">
      <c r="B72" s="41">
        <v>61</v>
      </c>
      <c r="C72" s="117"/>
      <c r="D72" s="93"/>
      <c r="E72" s="93"/>
      <c r="F72" s="93"/>
      <c r="G72" s="93"/>
      <c r="H72" s="93"/>
      <c r="I72" s="93"/>
      <c r="J72" s="93"/>
      <c r="K72" s="94"/>
      <c r="L72" s="46"/>
      <c r="M72" s="43"/>
      <c r="N72" s="43"/>
      <c r="O72" s="43"/>
      <c r="P72" s="43"/>
    </row>
    <row r="73" spans="2:16" ht="14.25" customHeight="1">
      <c r="B73" s="35">
        <v>62</v>
      </c>
      <c r="C73" s="117"/>
      <c r="D73" s="93"/>
      <c r="E73" s="93"/>
      <c r="F73" s="93"/>
      <c r="G73" s="93"/>
      <c r="H73" s="93"/>
      <c r="I73" s="93"/>
      <c r="J73" s="93"/>
      <c r="K73" s="94"/>
      <c r="L73" s="46"/>
      <c r="M73" s="43"/>
      <c r="N73" s="43"/>
      <c r="O73" s="43"/>
      <c r="P73" s="43"/>
    </row>
    <row r="74" spans="2:16" ht="14.25" customHeight="1">
      <c r="B74" s="41">
        <v>63</v>
      </c>
      <c r="C74" s="117"/>
      <c r="D74" s="93"/>
      <c r="E74" s="93"/>
      <c r="F74" s="93"/>
      <c r="G74" s="93"/>
      <c r="H74" s="93"/>
      <c r="I74" s="93"/>
      <c r="J74" s="93"/>
      <c r="K74" s="94"/>
      <c r="L74" s="46"/>
      <c r="M74" s="43"/>
      <c r="N74" s="43"/>
      <c r="O74" s="43"/>
      <c r="P74" s="43"/>
    </row>
    <row r="75" spans="2:16" ht="14.25" customHeight="1">
      <c r="B75" s="41">
        <v>64</v>
      </c>
      <c r="C75" s="117"/>
      <c r="D75" s="93"/>
      <c r="E75" s="93"/>
      <c r="F75" s="93"/>
      <c r="G75" s="93"/>
      <c r="H75" s="93"/>
      <c r="I75" s="93"/>
      <c r="J75" s="93"/>
      <c r="K75" s="94"/>
      <c r="L75" s="46"/>
      <c r="M75" s="43"/>
      <c r="N75" s="43"/>
      <c r="O75" s="43"/>
      <c r="P75" s="43"/>
    </row>
    <row r="76" spans="2:16" ht="14.25" customHeight="1">
      <c r="B76" s="35">
        <v>65</v>
      </c>
      <c r="C76" s="117"/>
      <c r="D76" s="93"/>
      <c r="E76" s="93"/>
      <c r="F76" s="93"/>
      <c r="G76" s="93"/>
      <c r="H76" s="93"/>
      <c r="I76" s="93"/>
      <c r="J76" s="93"/>
      <c r="K76" s="94"/>
      <c r="L76" s="46"/>
      <c r="M76" s="43"/>
      <c r="N76" s="43"/>
      <c r="O76" s="43"/>
      <c r="P76" s="43"/>
    </row>
    <row r="77" spans="2:16" ht="14.25" customHeight="1">
      <c r="B77" s="41">
        <v>66</v>
      </c>
      <c r="C77" s="117"/>
      <c r="D77" s="93"/>
      <c r="E77" s="93"/>
      <c r="F77" s="93"/>
      <c r="G77" s="93"/>
      <c r="H77" s="93"/>
      <c r="I77" s="93"/>
      <c r="J77" s="93"/>
      <c r="K77" s="94"/>
      <c r="L77" s="46"/>
      <c r="M77" s="43"/>
      <c r="N77" s="43"/>
      <c r="O77" s="43"/>
      <c r="P77" s="43"/>
    </row>
    <row r="78" spans="2:16" ht="14.25" customHeight="1">
      <c r="B78" s="41">
        <v>67</v>
      </c>
      <c r="C78" s="117"/>
      <c r="D78" s="93"/>
      <c r="E78" s="93"/>
      <c r="F78" s="93"/>
      <c r="G78" s="93"/>
      <c r="H78" s="93"/>
      <c r="I78" s="93"/>
      <c r="J78" s="93"/>
      <c r="K78" s="94"/>
      <c r="L78" s="46"/>
      <c r="M78" s="43"/>
      <c r="N78" s="43"/>
      <c r="O78" s="43"/>
      <c r="P78" s="43"/>
    </row>
    <row r="79" spans="2:16" ht="14.25" customHeight="1">
      <c r="B79" s="35">
        <v>68</v>
      </c>
      <c r="C79" s="117"/>
      <c r="D79" s="93"/>
      <c r="E79" s="93"/>
      <c r="F79" s="93"/>
      <c r="G79" s="93"/>
      <c r="H79" s="93"/>
      <c r="I79" s="93"/>
      <c r="J79" s="93"/>
      <c r="K79" s="94"/>
      <c r="L79" s="46"/>
      <c r="M79" s="43"/>
      <c r="N79" s="43"/>
      <c r="O79" s="43"/>
      <c r="P79" s="43"/>
    </row>
    <row r="80" spans="2:16" ht="14.25" customHeight="1">
      <c r="B80" s="41">
        <v>69</v>
      </c>
      <c r="C80" s="117"/>
      <c r="D80" s="93"/>
      <c r="E80" s="93"/>
      <c r="F80" s="93"/>
      <c r="G80" s="93"/>
      <c r="H80" s="93"/>
      <c r="I80" s="93"/>
      <c r="J80" s="93"/>
      <c r="K80" s="94"/>
      <c r="L80" s="46"/>
      <c r="M80" s="43"/>
      <c r="N80" s="43"/>
      <c r="O80" s="43"/>
      <c r="P80" s="43"/>
    </row>
    <row r="81" spans="2:16" ht="14.25" customHeight="1">
      <c r="B81" s="41">
        <v>70</v>
      </c>
      <c r="C81" s="117"/>
      <c r="D81" s="93"/>
      <c r="E81" s="93"/>
      <c r="F81" s="93"/>
      <c r="G81" s="93"/>
      <c r="H81" s="93"/>
      <c r="I81" s="93"/>
      <c r="J81" s="93"/>
      <c r="K81" s="94"/>
      <c r="L81" s="46"/>
      <c r="M81" s="43"/>
      <c r="N81" s="43"/>
      <c r="O81" s="43"/>
      <c r="P81" s="43"/>
    </row>
    <row r="82" spans="2:16" ht="14.25" customHeight="1">
      <c r="B82" s="35">
        <v>71</v>
      </c>
      <c r="C82" s="117"/>
      <c r="D82" s="93"/>
      <c r="E82" s="93"/>
      <c r="F82" s="93"/>
      <c r="G82" s="93"/>
      <c r="H82" s="93"/>
      <c r="I82" s="93"/>
      <c r="J82" s="93"/>
      <c r="K82" s="94"/>
      <c r="L82" s="46"/>
      <c r="M82" s="43"/>
      <c r="N82" s="43"/>
      <c r="O82" s="43"/>
      <c r="P82" s="43"/>
    </row>
    <row r="83" spans="2:16" ht="14.25" customHeight="1">
      <c r="B83" s="41">
        <v>72</v>
      </c>
      <c r="C83" s="117"/>
      <c r="D83" s="93"/>
      <c r="E83" s="93"/>
      <c r="F83" s="93"/>
      <c r="G83" s="93"/>
      <c r="H83" s="93"/>
      <c r="I83" s="93"/>
      <c r="J83" s="93"/>
      <c r="K83" s="94"/>
      <c r="L83" s="46"/>
      <c r="M83" s="43"/>
      <c r="N83" s="43"/>
      <c r="O83" s="43"/>
      <c r="P83" s="43"/>
    </row>
    <row r="84" spans="2:16" ht="14.25" customHeight="1">
      <c r="B84" s="41">
        <v>73</v>
      </c>
      <c r="C84" s="117"/>
      <c r="D84" s="93"/>
      <c r="E84" s="93"/>
      <c r="F84" s="93"/>
      <c r="G84" s="93"/>
      <c r="H84" s="93"/>
      <c r="I84" s="93"/>
      <c r="J84" s="93"/>
      <c r="K84" s="94"/>
      <c r="L84" s="46"/>
      <c r="M84" s="43"/>
      <c r="N84" s="43"/>
      <c r="O84" s="43"/>
      <c r="P84" s="43"/>
    </row>
    <row r="85" spans="2:16" ht="14.25" customHeight="1">
      <c r="B85" s="35">
        <v>74</v>
      </c>
      <c r="C85" s="117"/>
      <c r="D85" s="93"/>
      <c r="E85" s="93"/>
      <c r="F85" s="93"/>
      <c r="G85" s="93"/>
      <c r="H85" s="93"/>
      <c r="I85" s="93"/>
      <c r="J85" s="93"/>
      <c r="K85" s="94"/>
      <c r="L85" s="46"/>
      <c r="M85" s="43"/>
      <c r="N85" s="43"/>
      <c r="O85" s="43"/>
      <c r="P85" s="43"/>
    </row>
    <row r="86" spans="2:16" ht="14.25" customHeight="1">
      <c r="B86" s="41">
        <v>75</v>
      </c>
      <c r="C86" s="117"/>
      <c r="D86" s="93"/>
      <c r="E86" s="93"/>
      <c r="F86" s="93"/>
      <c r="G86" s="93"/>
      <c r="H86" s="93"/>
      <c r="I86" s="93"/>
      <c r="J86" s="93"/>
      <c r="K86" s="94"/>
      <c r="L86" s="46"/>
      <c r="M86" s="43"/>
      <c r="N86" s="43"/>
      <c r="O86" s="43"/>
      <c r="P86" s="43"/>
    </row>
    <row r="87" spans="2:16" ht="14.25" customHeight="1">
      <c r="B87" s="41">
        <v>76</v>
      </c>
      <c r="C87" s="117"/>
      <c r="D87" s="93"/>
      <c r="E87" s="93"/>
      <c r="F87" s="93"/>
      <c r="G87" s="93"/>
      <c r="H87" s="93"/>
      <c r="I87" s="93"/>
      <c r="J87" s="93"/>
      <c r="K87" s="94"/>
      <c r="L87" s="46"/>
      <c r="M87" s="43"/>
      <c r="N87" s="43"/>
      <c r="O87" s="43"/>
      <c r="P87" s="43"/>
    </row>
    <row r="88" spans="2:16" ht="14.25" customHeight="1"/>
    <row r="89" spans="2:16" ht="14.25" customHeight="1"/>
    <row r="90" spans="2:16" ht="14.25" customHeight="1"/>
    <row r="91" spans="2:16" ht="14.25" customHeight="1"/>
    <row r="92" spans="2:16" ht="14.25" customHeight="1"/>
    <row r="93" spans="2:16" ht="14.25" customHeight="1"/>
    <row r="94" spans="2:16" ht="14.25" customHeight="1"/>
    <row r="95" spans="2:16" ht="14.25" customHeight="1"/>
    <row r="96" spans="2:1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84">
    <mergeCell ref="C56:K56"/>
    <mergeCell ref="C57:K57"/>
    <mergeCell ref="C58:K58"/>
    <mergeCell ref="C59:K59"/>
    <mergeCell ref="C60:K60"/>
    <mergeCell ref="C61:K61"/>
    <mergeCell ref="C62:K62"/>
    <mergeCell ref="C63:K63"/>
    <mergeCell ref="C64:K64"/>
    <mergeCell ref="C65:K65"/>
    <mergeCell ref="C66:K66"/>
    <mergeCell ref="C67:K67"/>
    <mergeCell ref="C68:K68"/>
    <mergeCell ref="C69:K69"/>
    <mergeCell ref="C70:K70"/>
    <mergeCell ref="C71:K71"/>
    <mergeCell ref="C72:K72"/>
    <mergeCell ref="C73:K73"/>
    <mergeCell ref="C74:K74"/>
    <mergeCell ref="C75:K75"/>
    <mergeCell ref="C76:K76"/>
    <mergeCell ref="C84:K84"/>
    <mergeCell ref="C85:K85"/>
    <mergeCell ref="C86:K86"/>
    <mergeCell ref="C87:K87"/>
    <mergeCell ref="C77:K77"/>
    <mergeCell ref="C78:K78"/>
    <mergeCell ref="C79:K79"/>
    <mergeCell ref="C80:K80"/>
    <mergeCell ref="C81:K81"/>
    <mergeCell ref="C82:K82"/>
    <mergeCell ref="C83:K83"/>
    <mergeCell ref="C2:G2"/>
    <mergeCell ref="C3:G3"/>
    <mergeCell ref="C4:G4"/>
    <mergeCell ref="B5:C5"/>
    <mergeCell ref="M8:O8"/>
    <mergeCell ref="P8:P9"/>
    <mergeCell ref="C9:J9"/>
    <mergeCell ref="C11:E11"/>
    <mergeCell ref="C12:K12"/>
    <mergeCell ref="C13:K13"/>
    <mergeCell ref="C14:K14"/>
    <mergeCell ref="C15:K15"/>
    <mergeCell ref="C17:K17"/>
    <mergeCell ref="C18:K18"/>
    <mergeCell ref="C19:K19"/>
    <mergeCell ref="C20:K20"/>
    <mergeCell ref="C21:K21"/>
    <mergeCell ref="C22:K22"/>
    <mergeCell ref="C23:K23"/>
    <mergeCell ref="C24:K24"/>
    <mergeCell ref="C30:K30"/>
    <mergeCell ref="C31:K31"/>
    <mergeCell ref="C32:K32"/>
    <mergeCell ref="C33:K33"/>
    <mergeCell ref="C25:K25"/>
    <mergeCell ref="C26:K26"/>
    <mergeCell ref="C27:K27"/>
    <mergeCell ref="C28:K28"/>
    <mergeCell ref="C29:K29"/>
    <mergeCell ref="C54:K54"/>
    <mergeCell ref="C55:K55"/>
    <mergeCell ref="C47:K47"/>
    <mergeCell ref="C48:K48"/>
    <mergeCell ref="C49:K49"/>
    <mergeCell ref="C50:K50"/>
    <mergeCell ref="C51:K51"/>
    <mergeCell ref="C45:K45"/>
    <mergeCell ref="C46:K46"/>
    <mergeCell ref="C16:K16"/>
    <mergeCell ref="C52:K52"/>
    <mergeCell ref="C53:K53"/>
    <mergeCell ref="C41:K41"/>
    <mergeCell ref="C42:K42"/>
    <mergeCell ref="C43:K43"/>
    <mergeCell ref="C44:K44"/>
    <mergeCell ref="C34:K34"/>
    <mergeCell ref="C35:K35"/>
    <mergeCell ref="C36:K36"/>
    <mergeCell ref="C37:K37"/>
    <mergeCell ref="C40:K40"/>
    <mergeCell ref="C38:K38"/>
    <mergeCell ref="C39:K39"/>
  </mergeCells>
  <hyperlinks>
    <hyperlink ref="V2" location="'REQ. FUN. GEN'!A1" display="Volver" xr:uid="{00000000-0004-0000-0E00-000000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V999"/>
  <sheetViews>
    <sheetView topLeftCell="A21" workbookViewId="0">
      <selection activeCell="A40" sqref="A40:XFD40"/>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32</v>
      </c>
      <c r="C2" s="126" t="s">
        <v>33</v>
      </c>
      <c r="D2" s="104"/>
      <c r="E2" s="104"/>
      <c r="F2" s="104"/>
      <c r="G2" s="104"/>
      <c r="V2" s="56"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c r="S8" s="53"/>
    </row>
    <row r="9" spans="2:22" ht="14.25" customHeight="1">
      <c r="B9" s="35"/>
      <c r="C9" s="36"/>
      <c r="D9" s="125" t="s">
        <v>321</v>
      </c>
      <c r="E9" s="99"/>
      <c r="F9" s="99"/>
      <c r="G9" s="99"/>
      <c r="H9" s="99"/>
      <c r="I9" s="100"/>
      <c r="J9" s="36"/>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t="s">
        <v>772</v>
      </c>
      <c r="D12" s="93"/>
      <c r="E12" s="93"/>
      <c r="F12" s="93"/>
      <c r="G12" s="93"/>
      <c r="H12" s="93"/>
      <c r="I12" s="93"/>
      <c r="J12" s="93"/>
      <c r="K12" s="94"/>
      <c r="L12" s="44"/>
      <c r="M12" s="43" t="s">
        <v>46</v>
      </c>
      <c r="N12" s="43"/>
      <c r="O12" s="43"/>
      <c r="P12" s="43"/>
    </row>
    <row r="13" spans="2:22" ht="14.25" customHeight="1">
      <c r="B13" s="35">
        <v>2</v>
      </c>
      <c r="C13" s="117" t="s">
        <v>322</v>
      </c>
      <c r="D13" s="93"/>
      <c r="E13" s="93"/>
      <c r="F13" s="93"/>
      <c r="G13" s="93"/>
      <c r="H13" s="93"/>
      <c r="I13" s="93"/>
      <c r="J13" s="93"/>
      <c r="K13" s="94"/>
      <c r="M13" s="43" t="s">
        <v>46</v>
      </c>
      <c r="N13" s="43"/>
      <c r="O13" s="43"/>
      <c r="P13" s="43"/>
    </row>
    <row r="14" spans="2:22" ht="14.25" customHeight="1">
      <c r="B14" s="41">
        <v>3</v>
      </c>
      <c r="C14" s="117" t="s">
        <v>323</v>
      </c>
      <c r="D14" s="93"/>
      <c r="E14" s="93"/>
      <c r="F14" s="93"/>
      <c r="G14" s="93"/>
      <c r="H14" s="93"/>
      <c r="I14" s="93"/>
      <c r="J14" s="93"/>
      <c r="K14" s="94"/>
      <c r="M14" s="43" t="s">
        <v>46</v>
      </c>
      <c r="N14" s="43"/>
      <c r="O14" s="43"/>
      <c r="P14" s="43"/>
    </row>
    <row r="15" spans="2:22" ht="14.25" customHeight="1">
      <c r="B15" s="41">
        <v>4</v>
      </c>
      <c r="C15" s="117" t="s">
        <v>324</v>
      </c>
      <c r="D15" s="93"/>
      <c r="E15" s="93"/>
      <c r="F15" s="93"/>
      <c r="G15" s="93"/>
      <c r="H15" s="93"/>
      <c r="I15" s="93"/>
      <c r="J15" s="93"/>
      <c r="K15" s="94"/>
      <c r="L15" s="42"/>
      <c r="M15" s="43" t="s">
        <v>46</v>
      </c>
      <c r="N15" s="43"/>
      <c r="O15" s="43"/>
      <c r="P15" s="43"/>
    </row>
    <row r="16" spans="2:22" ht="14.25" customHeight="1">
      <c r="B16" s="35">
        <v>5</v>
      </c>
      <c r="C16" s="117" t="s">
        <v>325</v>
      </c>
      <c r="D16" s="93"/>
      <c r="E16" s="93"/>
      <c r="F16" s="93"/>
      <c r="G16" s="93"/>
      <c r="H16" s="93"/>
      <c r="I16" s="93"/>
      <c r="J16" s="93"/>
      <c r="K16" s="94"/>
      <c r="L16" s="46"/>
      <c r="M16" s="43" t="s">
        <v>46</v>
      </c>
      <c r="N16" s="43"/>
      <c r="O16" s="43"/>
      <c r="P16" s="43"/>
    </row>
    <row r="17" spans="2:18" ht="15.75" customHeight="1">
      <c r="B17" s="41">
        <v>6</v>
      </c>
      <c r="C17" s="117" t="s">
        <v>326</v>
      </c>
      <c r="D17" s="93"/>
      <c r="E17" s="93"/>
      <c r="F17" s="93"/>
      <c r="G17" s="93"/>
      <c r="H17" s="93"/>
      <c r="I17" s="93"/>
      <c r="J17" s="93"/>
      <c r="K17" s="94"/>
      <c r="L17" s="46"/>
      <c r="M17" s="43" t="s">
        <v>46</v>
      </c>
      <c r="N17" s="43"/>
      <c r="O17" s="43"/>
      <c r="P17" s="43"/>
    </row>
    <row r="18" spans="2:18" ht="15.75" customHeight="1">
      <c r="B18" s="41">
        <v>7</v>
      </c>
      <c r="C18" s="117" t="s">
        <v>327</v>
      </c>
      <c r="D18" s="93"/>
      <c r="E18" s="93"/>
      <c r="F18" s="93"/>
      <c r="G18" s="93"/>
      <c r="H18" s="93"/>
      <c r="I18" s="93"/>
      <c r="J18" s="93"/>
      <c r="K18" s="94"/>
      <c r="L18" s="46"/>
      <c r="M18" s="43" t="s">
        <v>46</v>
      </c>
      <c r="N18" s="43"/>
      <c r="O18" s="43"/>
      <c r="P18" s="43"/>
    </row>
    <row r="19" spans="2:18" ht="15.75" customHeight="1">
      <c r="B19" s="35">
        <v>8</v>
      </c>
      <c r="C19" s="117" t="s">
        <v>328</v>
      </c>
      <c r="D19" s="93"/>
      <c r="E19" s="93"/>
      <c r="F19" s="93"/>
      <c r="G19" s="93"/>
      <c r="H19" s="93"/>
      <c r="I19" s="93"/>
      <c r="J19" s="93"/>
      <c r="K19" s="94"/>
      <c r="L19" s="46"/>
      <c r="M19" s="43"/>
      <c r="N19" s="43" t="s">
        <v>46</v>
      </c>
      <c r="O19" s="43"/>
      <c r="P19" s="43"/>
    </row>
    <row r="20" spans="2:18" ht="15.75" customHeight="1">
      <c r="B20" s="41">
        <v>9</v>
      </c>
      <c r="C20" s="117" t="s">
        <v>329</v>
      </c>
      <c r="D20" s="93"/>
      <c r="E20" s="93"/>
      <c r="F20" s="93"/>
      <c r="G20" s="93"/>
      <c r="H20" s="93"/>
      <c r="I20" s="93"/>
      <c r="J20" s="93"/>
      <c r="K20" s="94"/>
      <c r="L20" s="46"/>
      <c r="M20" s="43" t="s">
        <v>46</v>
      </c>
      <c r="N20" s="43"/>
      <c r="O20" s="43"/>
      <c r="P20" s="43"/>
    </row>
    <row r="21" spans="2:18" ht="15.75" customHeight="1">
      <c r="B21" s="41">
        <v>10</v>
      </c>
      <c r="C21" s="117" t="s">
        <v>330</v>
      </c>
      <c r="D21" s="93"/>
      <c r="E21" s="93"/>
      <c r="F21" s="93"/>
      <c r="G21" s="93"/>
      <c r="H21" s="93"/>
      <c r="I21" s="93"/>
      <c r="J21" s="93"/>
      <c r="K21" s="94"/>
      <c r="L21" s="46"/>
      <c r="M21" s="43" t="s">
        <v>46</v>
      </c>
      <c r="N21" s="43"/>
      <c r="O21" s="43"/>
      <c r="P21" s="43"/>
    </row>
    <row r="22" spans="2:18" ht="15.75" customHeight="1">
      <c r="B22" s="35">
        <v>11</v>
      </c>
      <c r="C22" s="117" t="s">
        <v>331</v>
      </c>
      <c r="D22" s="93"/>
      <c r="E22" s="93"/>
      <c r="F22" s="93"/>
      <c r="G22" s="93"/>
      <c r="H22" s="93"/>
      <c r="I22" s="93"/>
      <c r="J22" s="93"/>
      <c r="K22" s="94"/>
      <c r="L22" s="46"/>
      <c r="M22" s="43" t="s">
        <v>46</v>
      </c>
      <c r="N22" s="43"/>
      <c r="O22" s="43"/>
      <c r="P22" s="43"/>
      <c r="R22" s="53"/>
    </row>
    <row r="23" spans="2:18" ht="15.75" customHeight="1">
      <c r="B23" s="41">
        <v>12</v>
      </c>
      <c r="C23" s="117" t="s">
        <v>332</v>
      </c>
      <c r="D23" s="93"/>
      <c r="E23" s="93"/>
      <c r="F23" s="93"/>
      <c r="G23" s="93"/>
      <c r="H23" s="93"/>
      <c r="I23" s="93"/>
      <c r="J23" s="93"/>
      <c r="K23" s="94"/>
      <c r="L23" s="46"/>
      <c r="M23" s="43" t="s">
        <v>46</v>
      </c>
      <c r="N23" s="43"/>
      <c r="O23" s="43"/>
      <c r="P23" s="43"/>
    </row>
    <row r="24" spans="2:18" ht="15.75" customHeight="1">
      <c r="B24" s="41">
        <v>13</v>
      </c>
      <c r="C24" s="117" t="s">
        <v>333</v>
      </c>
      <c r="D24" s="93"/>
      <c r="E24" s="93"/>
      <c r="F24" s="93"/>
      <c r="G24" s="93"/>
      <c r="H24" s="93"/>
      <c r="I24" s="93"/>
      <c r="J24" s="93"/>
      <c r="K24" s="94"/>
      <c r="L24" s="46"/>
      <c r="M24" s="43" t="s">
        <v>46</v>
      </c>
      <c r="N24" s="43"/>
      <c r="O24" s="43"/>
      <c r="P24" s="43"/>
    </row>
    <row r="25" spans="2:18" ht="15.75" customHeight="1">
      <c r="B25" s="35">
        <v>14</v>
      </c>
      <c r="C25" s="117" t="s">
        <v>334</v>
      </c>
      <c r="D25" s="93"/>
      <c r="E25" s="93"/>
      <c r="F25" s="93"/>
      <c r="G25" s="93"/>
      <c r="H25" s="93"/>
      <c r="I25" s="93"/>
      <c r="J25" s="93"/>
      <c r="K25" s="94"/>
      <c r="L25" s="46"/>
      <c r="M25" s="43" t="s">
        <v>46</v>
      </c>
      <c r="N25" s="43"/>
      <c r="O25" s="43"/>
      <c r="P25" s="43"/>
    </row>
    <row r="26" spans="2:18" ht="15.75" customHeight="1">
      <c r="B26" s="41">
        <v>15</v>
      </c>
      <c r="C26" s="117" t="s">
        <v>335</v>
      </c>
      <c r="D26" s="93"/>
      <c r="E26" s="93"/>
      <c r="F26" s="93"/>
      <c r="G26" s="93"/>
      <c r="H26" s="93"/>
      <c r="I26" s="93"/>
      <c r="J26" s="93"/>
      <c r="K26" s="94"/>
      <c r="L26" s="46"/>
      <c r="M26" s="43" t="s">
        <v>46</v>
      </c>
      <c r="N26" s="43"/>
      <c r="O26" s="43"/>
      <c r="P26" s="43"/>
    </row>
    <row r="27" spans="2:18" ht="15.75" customHeight="1">
      <c r="B27" s="41">
        <v>16</v>
      </c>
      <c r="C27" s="117" t="s">
        <v>336</v>
      </c>
      <c r="D27" s="93"/>
      <c r="E27" s="93"/>
      <c r="F27" s="93"/>
      <c r="G27" s="93"/>
      <c r="H27" s="93"/>
      <c r="I27" s="93"/>
      <c r="J27" s="93"/>
      <c r="K27" s="94"/>
      <c r="L27" s="46"/>
      <c r="M27" s="43" t="s">
        <v>46</v>
      </c>
      <c r="N27" s="43"/>
      <c r="O27" s="43"/>
      <c r="P27" s="43"/>
    </row>
    <row r="28" spans="2:18" ht="14.25" customHeight="1">
      <c r="B28" s="35">
        <v>17</v>
      </c>
      <c r="C28" s="117" t="s">
        <v>337</v>
      </c>
      <c r="D28" s="93"/>
      <c r="E28" s="93"/>
      <c r="F28" s="93"/>
      <c r="G28" s="93"/>
      <c r="H28" s="93"/>
      <c r="I28" s="93"/>
      <c r="J28" s="93"/>
      <c r="K28" s="94"/>
      <c r="L28" s="46"/>
      <c r="M28" s="43"/>
      <c r="N28" s="43" t="s">
        <v>46</v>
      </c>
      <c r="O28" s="43"/>
      <c r="P28" s="43"/>
    </row>
    <row r="29" spans="2:18" ht="14.25" customHeight="1">
      <c r="B29" s="41">
        <v>18</v>
      </c>
      <c r="C29" s="117" t="s">
        <v>338</v>
      </c>
      <c r="D29" s="93"/>
      <c r="E29" s="93"/>
      <c r="F29" s="93"/>
      <c r="G29" s="93"/>
      <c r="H29" s="93"/>
      <c r="I29" s="93"/>
      <c r="J29" s="93"/>
      <c r="K29" s="94"/>
      <c r="L29" s="46"/>
      <c r="M29" s="43" t="s">
        <v>46</v>
      </c>
      <c r="N29" s="43"/>
      <c r="O29" s="43"/>
      <c r="P29" s="43"/>
    </row>
    <row r="30" spans="2:18" ht="14.25" customHeight="1">
      <c r="B30" s="41">
        <v>19</v>
      </c>
      <c r="C30" s="117" t="s">
        <v>339</v>
      </c>
      <c r="D30" s="93"/>
      <c r="E30" s="93"/>
      <c r="F30" s="93"/>
      <c r="G30" s="93"/>
      <c r="H30" s="93"/>
      <c r="I30" s="93"/>
      <c r="J30" s="93"/>
      <c r="K30" s="94"/>
      <c r="L30" s="46"/>
      <c r="M30" s="43" t="s">
        <v>46</v>
      </c>
      <c r="N30" s="43"/>
      <c r="O30" s="43"/>
      <c r="P30" s="43"/>
    </row>
    <row r="31" spans="2:18" ht="14.25" customHeight="1">
      <c r="B31" s="35">
        <v>20</v>
      </c>
      <c r="C31" s="117" t="s">
        <v>340</v>
      </c>
      <c r="D31" s="93"/>
      <c r="E31" s="93"/>
      <c r="F31" s="93"/>
      <c r="G31" s="93"/>
      <c r="H31" s="93"/>
      <c r="I31" s="93"/>
      <c r="J31" s="93"/>
      <c r="K31" s="94"/>
      <c r="L31" s="46"/>
      <c r="M31" s="43" t="s">
        <v>46</v>
      </c>
      <c r="N31" s="43"/>
      <c r="O31" s="43"/>
      <c r="P31" s="43"/>
    </row>
    <row r="32" spans="2:18" ht="14.25" customHeight="1">
      <c r="B32" s="41">
        <v>21</v>
      </c>
      <c r="C32" s="117" t="s">
        <v>341</v>
      </c>
      <c r="D32" s="93"/>
      <c r="E32" s="93"/>
      <c r="F32" s="93"/>
      <c r="G32" s="93"/>
      <c r="H32" s="93"/>
      <c r="I32" s="93"/>
      <c r="J32" s="93"/>
      <c r="K32" s="94"/>
      <c r="L32" s="46"/>
      <c r="M32" s="43" t="s">
        <v>46</v>
      </c>
      <c r="N32" s="43"/>
      <c r="O32" s="43"/>
      <c r="P32" s="43"/>
    </row>
    <row r="33" spans="2:16" ht="14.25" customHeight="1">
      <c r="B33" s="41">
        <v>22</v>
      </c>
      <c r="C33" s="117" t="s">
        <v>342</v>
      </c>
      <c r="D33" s="93"/>
      <c r="E33" s="93"/>
      <c r="F33" s="93"/>
      <c r="G33" s="93"/>
      <c r="H33" s="93"/>
      <c r="I33" s="93"/>
      <c r="J33" s="93"/>
      <c r="K33" s="94"/>
      <c r="L33" s="46"/>
      <c r="M33" s="43" t="s">
        <v>46</v>
      </c>
      <c r="N33" s="43"/>
      <c r="O33" s="43"/>
      <c r="P33" s="43"/>
    </row>
    <row r="34" spans="2:16" ht="14.25" customHeight="1">
      <c r="B34" s="35">
        <v>23</v>
      </c>
      <c r="C34" s="117" t="s">
        <v>343</v>
      </c>
      <c r="D34" s="93"/>
      <c r="E34" s="93"/>
      <c r="F34" s="93"/>
      <c r="G34" s="93"/>
      <c r="H34" s="93"/>
      <c r="I34" s="93"/>
      <c r="J34" s="93"/>
      <c r="K34" s="94"/>
      <c r="L34" s="46"/>
      <c r="M34" s="43" t="s">
        <v>46</v>
      </c>
      <c r="N34" s="43"/>
      <c r="O34" s="43"/>
      <c r="P34" s="43"/>
    </row>
    <row r="35" spans="2:16" ht="14.25" customHeight="1">
      <c r="B35" s="41">
        <v>24</v>
      </c>
      <c r="C35" s="117" t="s">
        <v>344</v>
      </c>
      <c r="D35" s="93"/>
      <c r="E35" s="93"/>
      <c r="F35" s="93"/>
      <c r="G35" s="93"/>
      <c r="H35" s="93"/>
      <c r="I35" s="93"/>
      <c r="J35" s="93"/>
      <c r="K35" s="94"/>
      <c r="L35" s="46"/>
      <c r="M35" s="43" t="s">
        <v>46</v>
      </c>
      <c r="N35" s="43"/>
      <c r="O35" s="43"/>
      <c r="P35" s="43"/>
    </row>
    <row r="36" spans="2:16" ht="30.75" customHeight="1">
      <c r="B36" s="41">
        <v>25</v>
      </c>
      <c r="C36" s="117" t="s">
        <v>345</v>
      </c>
      <c r="D36" s="93"/>
      <c r="E36" s="93"/>
      <c r="F36" s="93"/>
      <c r="G36" s="93"/>
      <c r="H36" s="93"/>
      <c r="I36" s="93"/>
      <c r="J36" s="93"/>
      <c r="K36" s="94"/>
      <c r="L36" s="46"/>
      <c r="M36" s="43" t="s">
        <v>46</v>
      </c>
      <c r="N36" s="43"/>
      <c r="O36" s="43"/>
      <c r="P36" s="43"/>
    </row>
    <row r="37" spans="2:16" ht="30.75" customHeight="1">
      <c r="B37" s="35">
        <v>26</v>
      </c>
      <c r="C37" s="117" t="s">
        <v>346</v>
      </c>
      <c r="D37" s="93"/>
      <c r="E37" s="93"/>
      <c r="F37" s="93"/>
      <c r="G37" s="93"/>
      <c r="H37" s="93"/>
      <c r="I37" s="93"/>
      <c r="J37" s="93"/>
      <c r="K37" s="94"/>
      <c r="L37" s="46"/>
      <c r="M37" s="43" t="s">
        <v>46</v>
      </c>
      <c r="N37" s="43"/>
      <c r="O37" s="43"/>
      <c r="P37" s="43"/>
    </row>
    <row r="38" spans="2:16" ht="31.5" customHeight="1">
      <c r="B38" s="41">
        <v>27</v>
      </c>
      <c r="C38" s="117" t="s">
        <v>347</v>
      </c>
      <c r="D38" s="93"/>
      <c r="E38" s="93"/>
      <c r="F38" s="93"/>
      <c r="G38" s="93"/>
      <c r="H38" s="93"/>
      <c r="I38" s="93"/>
      <c r="J38" s="93"/>
      <c r="K38" s="94"/>
      <c r="L38" s="46"/>
      <c r="M38" s="43" t="s">
        <v>46</v>
      </c>
      <c r="N38" s="43"/>
      <c r="O38" s="43"/>
      <c r="P38" s="43"/>
    </row>
    <row r="39" spans="2:16" ht="32.25" customHeight="1">
      <c r="B39" s="41">
        <v>28</v>
      </c>
      <c r="C39" s="117" t="s">
        <v>348</v>
      </c>
      <c r="D39" s="93"/>
      <c r="E39" s="93"/>
      <c r="F39" s="93"/>
      <c r="G39" s="93"/>
      <c r="H39" s="93"/>
      <c r="I39" s="93"/>
      <c r="J39" s="93"/>
      <c r="K39" s="94"/>
      <c r="L39" s="46"/>
      <c r="M39" s="43" t="s">
        <v>46</v>
      </c>
      <c r="N39" s="43"/>
      <c r="O39" s="43"/>
      <c r="P39" s="43"/>
    </row>
    <row r="40" spans="2:16" ht="14.25" customHeight="1">
      <c r="B40" s="41">
        <v>30</v>
      </c>
      <c r="C40" s="117" t="s">
        <v>349</v>
      </c>
      <c r="D40" s="93"/>
      <c r="E40" s="93"/>
      <c r="F40" s="93"/>
      <c r="G40" s="93"/>
      <c r="H40" s="93"/>
      <c r="I40" s="93"/>
      <c r="J40" s="93"/>
      <c r="K40" s="94"/>
      <c r="L40" s="46"/>
      <c r="M40" s="43" t="s">
        <v>46</v>
      </c>
      <c r="N40" s="43"/>
      <c r="O40" s="43"/>
      <c r="P40" s="43"/>
    </row>
    <row r="41" spans="2:16" ht="14.25" customHeight="1">
      <c r="B41" s="41">
        <v>31</v>
      </c>
      <c r="C41" s="117" t="s">
        <v>350</v>
      </c>
      <c r="D41" s="93"/>
      <c r="E41" s="93"/>
      <c r="F41" s="93"/>
      <c r="G41" s="93"/>
      <c r="H41" s="93"/>
      <c r="I41" s="93"/>
      <c r="J41" s="93"/>
      <c r="K41" s="94"/>
      <c r="L41" s="46"/>
      <c r="M41" s="43" t="s">
        <v>46</v>
      </c>
      <c r="N41" s="43"/>
      <c r="O41" s="43"/>
      <c r="P41" s="43"/>
    </row>
    <row r="42" spans="2:16" ht="14.25" customHeight="1">
      <c r="B42" s="35">
        <v>32</v>
      </c>
      <c r="C42" s="117" t="s">
        <v>351</v>
      </c>
      <c r="D42" s="93"/>
      <c r="E42" s="93"/>
      <c r="F42" s="93"/>
      <c r="G42" s="93"/>
      <c r="H42" s="93"/>
      <c r="I42" s="93"/>
      <c r="J42" s="93"/>
      <c r="K42" s="94"/>
      <c r="L42" s="46"/>
      <c r="M42" s="43" t="s">
        <v>46</v>
      </c>
      <c r="N42" s="43"/>
      <c r="O42" s="43"/>
      <c r="P42" s="43"/>
    </row>
    <row r="43" spans="2:16" ht="14.25" customHeight="1">
      <c r="B43" s="41">
        <v>33</v>
      </c>
      <c r="C43" s="117" t="s">
        <v>352</v>
      </c>
      <c r="D43" s="93"/>
      <c r="E43" s="93"/>
      <c r="F43" s="93"/>
      <c r="G43" s="93"/>
      <c r="H43" s="93"/>
      <c r="I43" s="93"/>
      <c r="J43" s="93"/>
      <c r="K43" s="94"/>
      <c r="L43" s="46"/>
      <c r="M43" s="43" t="s">
        <v>46</v>
      </c>
      <c r="N43" s="43"/>
      <c r="O43" s="43"/>
      <c r="P43" s="43"/>
    </row>
    <row r="44" spans="2:16" ht="14.25" customHeight="1">
      <c r="B44" s="41">
        <v>34</v>
      </c>
      <c r="C44" s="117" t="s">
        <v>353</v>
      </c>
      <c r="D44" s="93"/>
      <c r="E44" s="93"/>
      <c r="F44" s="93"/>
      <c r="G44" s="93"/>
      <c r="H44" s="93"/>
      <c r="I44" s="93"/>
      <c r="J44" s="93"/>
      <c r="K44" s="94"/>
      <c r="L44" s="46"/>
      <c r="M44" s="43" t="s">
        <v>46</v>
      </c>
      <c r="N44" s="43"/>
      <c r="O44" s="43"/>
      <c r="P44" s="43"/>
    </row>
    <row r="45" spans="2:16" ht="14.25" customHeight="1">
      <c r="B45" s="35">
        <v>35</v>
      </c>
      <c r="C45" s="117" t="s">
        <v>354</v>
      </c>
      <c r="D45" s="93"/>
      <c r="E45" s="93"/>
      <c r="F45" s="93"/>
      <c r="G45" s="93"/>
      <c r="H45" s="93"/>
      <c r="I45" s="93"/>
      <c r="J45" s="93"/>
      <c r="K45" s="94"/>
      <c r="L45" s="46"/>
      <c r="M45" s="43" t="s">
        <v>46</v>
      </c>
      <c r="N45" s="43"/>
      <c r="O45" s="43"/>
      <c r="P45" s="43"/>
    </row>
    <row r="46" spans="2:16" ht="14.25" customHeight="1">
      <c r="B46" s="41">
        <v>36</v>
      </c>
      <c r="C46" s="117" t="s">
        <v>298</v>
      </c>
      <c r="D46" s="93"/>
      <c r="E46" s="93"/>
      <c r="F46" s="93"/>
      <c r="G46" s="93"/>
      <c r="H46" s="93"/>
      <c r="I46" s="93"/>
      <c r="J46" s="93"/>
      <c r="K46" s="94"/>
      <c r="L46" s="46"/>
      <c r="M46" s="43" t="s">
        <v>46</v>
      </c>
      <c r="N46" s="43"/>
      <c r="O46" s="43"/>
      <c r="P46" s="43"/>
    </row>
    <row r="47" spans="2:16" ht="14.25" customHeight="1">
      <c r="B47" s="41">
        <v>37</v>
      </c>
      <c r="C47" s="117"/>
      <c r="D47" s="93"/>
      <c r="E47" s="93"/>
      <c r="F47" s="93"/>
      <c r="G47" s="93"/>
      <c r="H47" s="93"/>
      <c r="I47" s="93"/>
      <c r="J47" s="93"/>
      <c r="K47" s="94"/>
      <c r="L47" s="44"/>
      <c r="M47" s="43"/>
      <c r="N47" s="43"/>
      <c r="O47" s="43"/>
      <c r="P47" s="43"/>
    </row>
    <row r="48" spans="2:16" ht="15.75" customHeight="1">
      <c r="B48" s="35">
        <v>38</v>
      </c>
      <c r="C48" s="117"/>
      <c r="D48" s="93"/>
      <c r="E48" s="93"/>
      <c r="F48" s="93"/>
      <c r="G48" s="93"/>
      <c r="H48" s="93"/>
      <c r="I48" s="93"/>
      <c r="J48" s="93"/>
      <c r="K48" s="94"/>
      <c r="M48" s="43"/>
      <c r="N48" s="43"/>
      <c r="O48" s="43"/>
      <c r="P48" s="43"/>
    </row>
    <row r="49" spans="2:16" ht="14.25" customHeight="1">
      <c r="B49" s="41">
        <v>39</v>
      </c>
      <c r="C49" s="117"/>
      <c r="D49" s="93"/>
      <c r="E49" s="93"/>
      <c r="F49" s="93"/>
      <c r="G49" s="93"/>
      <c r="H49" s="93"/>
      <c r="I49" s="93"/>
      <c r="J49" s="93"/>
      <c r="K49" s="94"/>
      <c r="M49" s="43"/>
      <c r="N49" s="43"/>
      <c r="O49" s="43"/>
      <c r="P49" s="43"/>
    </row>
    <row r="50" spans="2:16" ht="14.25" customHeight="1">
      <c r="B50" s="41">
        <v>40</v>
      </c>
      <c r="C50" s="117"/>
      <c r="D50" s="93"/>
      <c r="E50" s="93"/>
      <c r="F50" s="93"/>
      <c r="G50" s="93"/>
      <c r="H50" s="93"/>
      <c r="I50" s="93"/>
      <c r="J50" s="93"/>
      <c r="K50" s="94"/>
      <c r="L50" s="42"/>
      <c r="M50" s="43"/>
      <c r="N50" s="43"/>
      <c r="O50" s="43"/>
      <c r="P50" s="43"/>
    </row>
    <row r="51" spans="2:16" ht="15.75" customHeight="1">
      <c r="B51" s="35">
        <v>41</v>
      </c>
      <c r="C51" s="117"/>
      <c r="D51" s="93"/>
      <c r="E51" s="93"/>
      <c r="F51" s="93"/>
      <c r="G51" s="93"/>
      <c r="H51" s="93"/>
      <c r="I51" s="93"/>
      <c r="J51" s="93"/>
      <c r="K51" s="94"/>
      <c r="L51" s="44"/>
      <c r="M51" s="43"/>
      <c r="N51" s="43"/>
      <c r="O51" s="43"/>
      <c r="P51" s="43"/>
    </row>
    <row r="52" spans="2:16" ht="14.25" customHeight="1">
      <c r="B52" s="41">
        <v>42</v>
      </c>
      <c r="C52" s="117"/>
      <c r="D52" s="93"/>
      <c r="E52" s="93"/>
      <c r="F52" s="93"/>
      <c r="G52" s="93"/>
      <c r="H52" s="93"/>
      <c r="I52" s="93"/>
      <c r="J52" s="93"/>
      <c r="K52" s="94"/>
      <c r="M52" s="43"/>
      <c r="N52" s="43"/>
      <c r="O52" s="43"/>
      <c r="P52" s="43"/>
    </row>
    <row r="53" spans="2:16" ht="14.25" customHeight="1">
      <c r="B53" s="41">
        <v>43</v>
      </c>
      <c r="C53" s="117"/>
      <c r="D53" s="93"/>
      <c r="E53" s="93"/>
      <c r="F53" s="93"/>
      <c r="G53" s="93"/>
      <c r="H53" s="93"/>
      <c r="I53" s="93"/>
      <c r="J53" s="93"/>
      <c r="K53" s="94"/>
      <c r="M53" s="43"/>
      <c r="N53" s="43"/>
      <c r="O53" s="43"/>
      <c r="P53" s="43"/>
    </row>
    <row r="54" spans="2:16" ht="14.25" customHeight="1">
      <c r="B54" s="35">
        <v>44</v>
      </c>
      <c r="C54" s="117"/>
      <c r="D54" s="93"/>
      <c r="E54" s="93"/>
      <c r="F54" s="93"/>
      <c r="G54" s="93"/>
      <c r="H54" s="93"/>
      <c r="I54" s="93"/>
      <c r="J54" s="93"/>
      <c r="K54" s="94"/>
      <c r="L54" s="42"/>
      <c r="M54" s="43"/>
      <c r="N54" s="43"/>
      <c r="O54" s="43"/>
      <c r="P54" s="43"/>
    </row>
    <row r="55" spans="2:16" ht="14.25" customHeight="1">
      <c r="B55" s="41">
        <v>45</v>
      </c>
      <c r="C55" s="117"/>
      <c r="D55" s="93"/>
      <c r="E55" s="93"/>
      <c r="F55" s="93"/>
      <c r="G55" s="93"/>
      <c r="H55" s="93"/>
      <c r="I55" s="93"/>
      <c r="J55" s="93"/>
      <c r="K55" s="94"/>
      <c r="L55" s="44"/>
      <c r="M55" s="43"/>
      <c r="N55" s="43"/>
      <c r="O55" s="43"/>
      <c r="P55" s="43"/>
    </row>
    <row r="56" spans="2:16" ht="14.25" customHeight="1">
      <c r="B56" s="41">
        <v>46</v>
      </c>
      <c r="C56" s="117"/>
      <c r="D56" s="93"/>
      <c r="E56" s="93"/>
      <c r="F56" s="93"/>
      <c r="G56" s="93"/>
      <c r="H56" s="93"/>
      <c r="I56" s="93"/>
      <c r="J56" s="93"/>
      <c r="K56" s="94"/>
      <c r="M56" s="43"/>
      <c r="N56" s="43"/>
      <c r="O56" s="43"/>
      <c r="P56" s="43"/>
    </row>
    <row r="57" spans="2:16" ht="14.25" customHeight="1">
      <c r="B57" s="35">
        <v>47</v>
      </c>
      <c r="C57" s="117"/>
      <c r="D57" s="93"/>
      <c r="E57" s="93"/>
      <c r="F57" s="93"/>
      <c r="G57" s="93"/>
      <c r="H57" s="93"/>
      <c r="I57" s="93"/>
      <c r="J57" s="93"/>
      <c r="K57" s="94"/>
      <c r="M57" s="43"/>
      <c r="N57" s="43"/>
      <c r="O57" s="43"/>
      <c r="P57" s="43"/>
    </row>
    <row r="58" spans="2:16" ht="14.25" customHeight="1">
      <c r="B58" s="41">
        <v>48</v>
      </c>
      <c r="C58" s="117"/>
      <c r="D58" s="93"/>
      <c r="E58" s="93"/>
      <c r="F58" s="93"/>
      <c r="G58" s="93"/>
      <c r="H58" s="93"/>
      <c r="I58" s="93"/>
      <c r="J58" s="93"/>
      <c r="K58" s="94"/>
      <c r="M58" s="43"/>
      <c r="N58" s="43"/>
      <c r="O58" s="43"/>
      <c r="P58" s="43"/>
    </row>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55">
    <mergeCell ref="C2:G2"/>
    <mergeCell ref="C3:G3"/>
    <mergeCell ref="C4:G4"/>
    <mergeCell ref="B5:C5"/>
    <mergeCell ref="M8:O8"/>
    <mergeCell ref="P8:P9"/>
    <mergeCell ref="D9:I9"/>
    <mergeCell ref="C11:E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9:K39"/>
    <mergeCell ref="C40:K40"/>
    <mergeCell ref="C41:K41"/>
    <mergeCell ref="C42:K42"/>
    <mergeCell ref="C34:K34"/>
    <mergeCell ref="C35:K35"/>
    <mergeCell ref="C36:K36"/>
    <mergeCell ref="C37:K37"/>
    <mergeCell ref="C38:K38"/>
    <mergeCell ref="C43:K43"/>
    <mergeCell ref="C44:K44"/>
    <mergeCell ref="C52:K52"/>
    <mergeCell ref="C53:K53"/>
    <mergeCell ref="C54:K54"/>
    <mergeCell ref="C55:K55"/>
    <mergeCell ref="C56:K56"/>
    <mergeCell ref="C57:K57"/>
    <mergeCell ref="C58:K58"/>
    <mergeCell ref="C45:K45"/>
    <mergeCell ref="C46:K46"/>
    <mergeCell ref="C47:K47"/>
    <mergeCell ref="C48:K48"/>
    <mergeCell ref="C49:K49"/>
    <mergeCell ref="C50:K50"/>
    <mergeCell ref="C51:K51"/>
  </mergeCells>
  <hyperlinks>
    <hyperlink ref="V2" location="'REQ. NO FUN. GEN'!A1" display="Volver" xr:uid="{00000000-0004-0000-0F00-000000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T1013"/>
  <sheetViews>
    <sheetView topLeftCell="A19" zoomScaleNormal="100" workbookViewId="0">
      <selection activeCell="N54" sqref="N54"/>
    </sheetView>
  </sheetViews>
  <sheetFormatPr baseColWidth="10" defaultColWidth="12.5703125" defaultRowHeight="15" customHeight="1"/>
  <cols>
    <col min="1" max="1" width="10.5703125" customWidth="1"/>
    <col min="2" max="2" width="4.28515625" customWidth="1"/>
    <col min="3" max="15" width="10.5703125" customWidth="1"/>
    <col min="16" max="16" width="22.7109375" customWidth="1"/>
    <col min="17" max="26" width="10.5703125" customWidth="1"/>
  </cols>
  <sheetData>
    <row r="1" spans="2:20" ht="14.25" customHeight="1">
      <c r="B1" s="29"/>
    </row>
    <row r="2" spans="2:20" ht="14.25" customHeight="1">
      <c r="B2" s="30" t="s">
        <v>32</v>
      </c>
      <c r="C2" s="126" t="s">
        <v>33</v>
      </c>
      <c r="D2" s="104"/>
      <c r="E2" s="104"/>
      <c r="F2" s="104"/>
      <c r="G2" s="104"/>
      <c r="T2" s="67" t="s">
        <v>13</v>
      </c>
    </row>
    <row r="3" spans="2:20" ht="14.25" customHeight="1">
      <c r="B3" s="30" t="s">
        <v>34</v>
      </c>
      <c r="C3" s="126" t="s">
        <v>35</v>
      </c>
      <c r="D3" s="104"/>
      <c r="E3" s="104"/>
      <c r="F3" s="104"/>
      <c r="G3" s="104"/>
    </row>
    <row r="4" spans="2:20" ht="14.25" customHeight="1">
      <c r="B4" s="30" t="s">
        <v>36</v>
      </c>
      <c r="C4" s="126" t="s">
        <v>37</v>
      </c>
      <c r="D4" s="104"/>
      <c r="E4" s="104"/>
      <c r="F4" s="104"/>
      <c r="G4" s="104"/>
    </row>
    <row r="5" spans="2:20" ht="14.25" customHeight="1">
      <c r="B5" s="127" t="s">
        <v>38</v>
      </c>
      <c r="C5" s="104"/>
      <c r="D5" s="32" t="s">
        <v>39</v>
      </c>
      <c r="E5" s="32"/>
      <c r="F5" s="32"/>
      <c r="G5" s="33"/>
    </row>
    <row r="6" spans="2:20" ht="14.25" customHeight="1">
      <c r="B6" s="29"/>
    </row>
    <row r="7" spans="2:20" ht="14.25" customHeight="1">
      <c r="B7" s="34" t="s">
        <v>40</v>
      </c>
    </row>
    <row r="8" spans="2:20" ht="14.25" customHeight="1">
      <c r="B8" s="29"/>
      <c r="M8" s="128" t="s">
        <v>41</v>
      </c>
      <c r="N8" s="129"/>
      <c r="O8" s="130"/>
      <c r="P8" s="123" t="s">
        <v>42</v>
      </c>
    </row>
    <row r="9" spans="2:20" ht="14.25" customHeight="1">
      <c r="B9" s="35"/>
      <c r="C9" s="125" t="s">
        <v>355</v>
      </c>
      <c r="D9" s="99"/>
      <c r="E9" s="99"/>
      <c r="F9" s="99"/>
      <c r="G9" s="99"/>
      <c r="H9" s="99"/>
      <c r="I9" s="99"/>
      <c r="J9" s="100"/>
      <c r="K9" s="36"/>
      <c r="M9" s="37" t="s">
        <v>32</v>
      </c>
      <c r="N9" s="38" t="s">
        <v>34</v>
      </c>
      <c r="O9" s="38" t="s">
        <v>36</v>
      </c>
      <c r="P9" s="124"/>
    </row>
    <row r="10" spans="2:20" ht="14.25" customHeight="1">
      <c r="B10" s="39"/>
    </row>
    <row r="11" spans="2:20" ht="14.25" customHeight="1">
      <c r="B11" s="40"/>
      <c r="C11" s="120"/>
      <c r="D11" s="109"/>
      <c r="E11" s="110"/>
      <c r="F11" s="36"/>
      <c r="G11" s="36"/>
      <c r="H11" s="36"/>
      <c r="I11" s="36"/>
      <c r="J11" s="36"/>
      <c r="K11" s="36"/>
    </row>
    <row r="12" spans="2:20" ht="32.25" customHeight="1">
      <c r="B12" s="41">
        <v>1</v>
      </c>
      <c r="C12" s="134" t="s">
        <v>356</v>
      </c>
      <c r="D12" s="93"/>
      <c r="E12" s="93"/>
      <c r="F12" s="93"/>
      <c r="G12" s="93"/>
      <c r="H12" s="93"/>
      <c r="I12" s="93"/>
      <c r="J12" s="93"/>
      <c r="K12" s="94"/>
      <c r="L12" s="46"/>
      <c r="M12" s="57" t="s">
        <v>46</v>
      </c>
      <c r="N12" s="58"/>
      <c r="O12" s="58"/>
      <c r="P12" s="59"/>
    </row>
    <row r="13" spans="2:20" ht="32.25" customHeight="1">
      <c r="B13" s="41">
        <v>2</v>
      </c>
      <c r="C13" s="117" t="s">
        <v>684</v>
      </c>
      <c r="D13" s="93"/>
      <c r="E13" s="93"/>
      <c r="F13" s="93"/>
      <c r="G13" s="93"/>
      <c r="H13" s="93"/>
      <c r="I13" s="93"/>
      <c r="J13" s="93"/>
      <c r="K13" s="94"/>
      <c r="L13" s="46"/>
      <c r="M13" s="57" t="s">
        <v>46</v>
      </c>
      <c r="N13" s="58"/>
      <c r="O13" s="58"/>
      <c r="P13" s="59"/>
    </row>
    <row r="14" spans="2:20" ht="32.25" customHeight="1">
      <c r="B14" s="41">
        <v>3</v>
      </c>
      <c r="C14" s="117" t="s">
        <v>357</v>
      </c>
      <c r="D14" s="93"/>
      <c r="E14" s="93"/>
      <c r="F14" s="93"/>
      <c r="G14" s="93"/>
      <c r="H14" s="93"/>
      <c r="I14" s="93"/>
      <c r="J14" s="93"/>
      <c r="K14" s="94"/>
      <c r="L14" s="46"/>
      <c r="M14" s="57" t="s">
        <v>46</v>
      </c>
      <c r="N14" s="58"/>
      <c r="O14" s="58"/>
      <c r="P14" s="59"/>
    </row>
    <row r="15" spans="2:20" ht="32.25" customHeight="1">
      <c r="B15" s="41">
        <v>4</v>
      </c>
      <c r="C15" s="117" t="s">
        <v>358</v>
      </c>
      <c r="D15" s="93"/>
      <c r="E15" s="93"/>
      <c r="F15" s="93"/>
      <c r="G15" s="93"/>
      <c r="H15" s="93"/>
      <c r="I15" s="93"/>
      <c r="J15" s="93"/>
      <c r="K15" s="94"/>
      <c r="L15" s="46"/>
      <c r="M15" s="57" t="s">
        <v>46</v>
      </c>
      <c r="N15" s="58"/>
      <c r="O15" s="58"/>
      <c r="P15" s="59"/>
    </row>
    <row r="16" spans="2:20" ht="32.25" customHeight="1">
      <c r="B16" s="41">
        <v>5</v>
      </c>
      <c r="C16" s="117" t="s">
        <v>359</v>
      </c>
      <c r="D16" s="93"/>
      <c r="E16" s="93"/>
      <c r="F16" s="93"/>
      <c r="G16" s="93"/>
      <c r="H16" s="93"/>
      <c r="I16" s="93"/>
      <c r="J16" s="93"/>
      <c r="K16" s="94"/>
      <c r="L16" s="46"/>
      <c r="M16" s="57" t="s">
        <v>46</v>
      </c>
      <c r="N16" s="58"/>
      <c r="O16" s="58"/>
      <c r="P16" s="59"/>
    </row>
    <row r="17" spans="2:18" ht="32.25" customHeight="1">
      <c r="B17" s="41">
        <v>6</v>
      </c>
      <c r="C17" s="117" t="s">
        <v>360</v>
      </c>
      <c r="D17" s="93"/>
      <c r="E17" s="93"/>
      <c r="F17" s="93"/>
      <c r="G17" s="93"/>
      <c r="H17" s="93"/>
      <c r="I17" s="93"/>
      <c r="J17" s="93"/>
      <c r="K17" s="94"/>
      <c r="L17" s="46"/>
      <c r="M17" s="57" t="s">
        <v>46</v>
      </c>
      <c r="N17" s="58"/>
      <c r="O17" s="58"/>
      <c r="P17" s="59"/>
    </row>
    <row r="18" spans="2:18" ht="32.25" customHeight="1">
      <c r="B18" s="41">
        <v>7</v>
      </c>
      <c r="C18" s="117" t="s">
        <v>361</v>
      </c>
      <c r="D18" s="93"/>
      <c r="E18" s="93"/>
      <c r="F18" s="93"/>
      <c r="G18" s="93"/>
      <c r="H18" s="93"/>
      <c r="I18" s="93"/>
      <c r="J18" s="93"/>
      <c r="K18" s="94"/>
      <c r="L18" s="46"/>
      <c r="M18" s="57" t="s">
        <v>46</v>
      </c>
      <c r="N18" s="58"/>
      <c r="O18" s="58"/>
      <c r="P18" s="59"/>
    </row>
    <row r="19" spans="2:18" ht="32.25" customHeight="1">
      <c r="B19" s="41">
        <v>8</v>
      </c>
      <c r="C19" s="117" t="s">
        <v>362</v>
      </c>
      <c r="D19" s="93"/>
      <c r="E19" s="93"/>
      <c r="F19" s="93"/>
      <c r="G19" s="93"/>
      <c r="H19" s="93"/>
      <c r="I19" s="93"/>
      <c r="J19" s="93"/>
      <c r="K19" s="94"/>
      <c r="L19" s="46"/>
      <c r="M19" s="57" t="s">
        <v>46</v>
      </c>
      <c r="N19" s="58"/>
      <c r="O19" s="58"/>
      <c r="P19" s="59"/>
    </row>
    <row r="20" spans="2:18" ht="32.25" customHeight="1">
      <c r="B20" s="41">
        <v>9</v>
      </c>
      <c r="C20" s="117" t="s">
        <v>686</v>
      </c>
      <c r="D20" s="93"/>
      <c r="E20" s="93"/>
      <c r="F20" s="93"/>
      <c r="G20" s="93"/>
      <c r="H20" s="93"/>
      <c r="I20" s="93"/>
      <c r="J20" s="93"/>
      <c r="K20" s="94"/>
      <c r="L20" s="46"/>
      <c r="M20" s="57" t="s">
        <v>46</v>
      </c>
      <c r="N20" s="58"/>
      <c r="O20" s="58"/>
      <c r="P20" s="59"/>
      <c r="R20" s="47" t="s">
        <v>363</v>
      </c>
    </row>
    <row r="21" spans="2:18" ht="32.25" customHeight="1">
      <c r="B21" s="41">
        <v>10</v>
      </c>
      <c r="C21" s="117" t="s">
        <v>364</v>
      </c>
      <c r="D21" s="93"/>
      <c r="E21" s="93"/>
      <c r="F21" s="93"/>
      <c r="G21" s="93"/>
      <c r="H21" s="93"/>
      <c r="I21" s="93"/>
      <c r="J21" s="93"/>
      <c r="K21" s="94"/>
      <c r="L21" s="46"/>
      <c r="M21" s="57" t="s">
        <v>46</v>
      </c>
      <c r="N21" s="58"/>
      <c r="O21" s="58"/>
      <c r="P21" s="59"/>
    </row>
    <row r="22" spans="2:18" ht="42.75" customHeight="1">
      <c r="B22" s="41">
        <v>11</v>
      </c>
      <c r="C22" s="117" t="s">
        <v>677</v>
      </c>
      <c r="D22" s="93"/>
      <c r="E22" s="93"/>
      <c r="F22" s="93"/>
      <c r="G22" s="93"/>
      <c r="H22" s="93"/>
      <c r="I22" s="93"/>
      <c r="J22" s="93"/>
      <c r="K22" s="94"/>
      <c r="L22" s="46"/>
      <c r="M22" s="57" t="s">
        <v>46</v>
      </c>
      <c r="N22" s="58"/>
      <c r="O22" s="58"/>
      <c r="P22" s="59"/>
      <c r="R22" s="47" t="s">
        <v>365</v>
      </c>
    </row>
    <row r="23" spans="2:18" ht="42.75" customHeight="1">
      <c r="B23" s="41">
        <v>12</v>
      </c>
      <c r="C23" s="117" t="s">
        <v>682</v>
      </c>
      <c r="D23" s="93"/>
      <c r="E23" s="93"/>
      <c r="F23" s="93"/>
      <c r="G23" s="93"/>
      <c r="H23" s="93"/>
      <c r="I23" s="93"/>
      <c r="J23" s="93"/>
      <c r="K23" s="94"/>
      <c r="L23" s="46"/>
      <c r="M23" s="57" t="s">
        <v>46</v>
      </c>
      <c r="N23" s="58"/>
      <c r="O23" s="58"/>
      <c r="P23" s="62"/>
      <c r="R23" s="47"/>
    </row>
    <row r="24" spans="2:18" ht="42.75" customHeight="1">
      <c r="B24" s="41">
        <v>13</v>
      </c>
      <c r="C24" s="117" t="s">
        <v>678</v>
      </c>
      <c r="D24" s="93"/>
      <c r="E24" s="93"/>
      <c r="F24" s="93"/>
      <c r="G24" s="93"/>
      <c r="H24" s="93"/>
      <c r="I24" s="93"/>
      <c r="J24" s="93"/>
      <c r="K24" s="94"/>
      <c r="L24" s="46"/>
      <c r="M24" s="57" t="s">
        <v>46</v>
      </c>
      <c r="N24" s="58"/>
      <c r="O24" s="58"/>
      <c r="P24" s="62"/>
      <c r="R24" s="47"/>
    </row>
    <row r="25" spans="2:18" ht="66.75" customHeight="1">
      <c r="B25" s="41">
        <v>14</v>
      </c>
      <c r="C25" s="134" t="s">
        <v>697</v>
      </c>
      <c r="D25" s="93"/>
      <c r="E25" s="93"/>
      <c r="F25" s="93"/>
      <c r="G25" s="93"/>
      <c r="H25" s="93"/>
      <c r="I25" s="93"/>
      <c r="J25" s="93"/>
      <c r="K25" s="94"/>
      <c r="L25" s="46"/>
      <c r="M25" s="57" t="s">
        <v>46</v>
      </c>
      <c r="N25" s="58"/>
      <c r="O25" s="58"/>
      <c r="P25" s="62"/>
      <c r="R25" s="47"/>
    </row>
    <row r="26" spans="2:18" ht="32.25" customHeight="1">
      <c r="B26" s="41">
        <v>15</v>
      </c>
      <c r="C26" s="134" t="s">
        <v>683</v>
      </c>
      <c r="D26" s="93"/>
      <c r="E26" s="93"/>
      <c r="F26" s="93"/>
      <c r="G26" s="93"/>
      <c r="H26" s="93"/>
      <c r="I26" s="93"/>
      <c r="J26" s="93"/>
      <c r="K26" s="94"/>
      <c r="L26" s="46"/>
      <c r="M26" s="57" t="s">
        <v>46</v>
      </c>
      <c r="N26" s="58"/>
      <c r="O26" s="58"/>
      <c r="P26" s="62"/>
      <c r="R26" s="47"/>
    </row>
    <row r="27" spans="2:18" ht="27.75" customHeight="1">
      <c r="B27" s="41">
        <v>16</v>
      </c>
      <c r="C27" s="134" t="s">
        <v>679</v>
      </c>
      <c r="D27" s="93"/>
      <c r="E27" s="93"/>
      <c r="F27" s="93"/>
      <c r="G27" s="93"/>
      <c r="H27" s="93"/>
      <c r="I27" s="93"/>
      <c r="J27" s="93"/>
      <c r="K27" s="94"/>
      <c r="L27" s="46"/>
      <c r="M27" s="57" t="s">
        <v>46</v>
      </c>
      <c r="N27" s="58"/>
      <c r="O27" s="58"/>
      <c r="P27" s="62"/>
      <c r="R27" s="47"/>
    </row>
    <row r="28" spans="2:18" ht="32.25" customHeight="1">
      <c r="B28" s="41">
        <v>17</v>
      </c>
      <c r="C28" s="134" t="s">
        <v>680</v>
      </c>
      <c r="D28" s="93"/>
      <c r="E28" s="93"/>
      <c r="F28" s="93"/>
      <c r="G28" s="93"/>
      <c r="H28" s="93"/>
      <c r="I28" s="93"/>
      <c r="J28" s="93"/>
      <c r="K28" s="94"/>
      <c r="L28" s="46"/>
      <c r="M28" s="57" t="s">
        <v>46</v>
      </c>
      <c r="N28" s="58"/>
      <c r="O28" s="58"/>
      <c r="P28" s="62"/>
      <c r="R28" s="47"/>
    </row>
    <row r="29" spans="2:18" ht="67.5" customHeight="1">
      <c r="B29" s="41">
        <v>18</v>
      </c>
      <c r="C29" s="134" t="s">
        <v>681</v>
      </c>
      <c r="D29" s="93"/>
      <c r="E29" s="93"/>
      <c r="F29" s="93"/>
      <c r="G29" s="93"/>
      <c r="H29" s="93"/>
      <c r="I29" s="93"/>
      <c r="J29" s="93"/>
      <c r="K29" s="94"/>
      <c r="L29" s="46"/>
      <c r="M29" s="57" t="s">
        <v>46</v>
      </c>
      <c r="N29" s="58"/>
      <c r="O29" s="58"/>
      <c r="P29" s="62"/>
      <c r="R29" s="47"/>
    </row>
    <row r="30" spans="2:18" ht="62.25" customHeight="1">
      <c r="B30" s="41">
        <v>19</v>
      </c>
      <c r="C30" s="134" t="s">
        <v>700</v>
      </c>
      <c r="D30" s="93"/>
      <c r="E30" s="93"/>
      <c r="F30" s="93"/>
      <c r="G30" s="93"/>
      <c r="H30" s="93"/>
      <c r="I30" s="93"/>
      <c r="J30" s="93"/>
      <c r="K30" s="94"/>
      <c r="L30" s="46"/>
      <c r="M30" s="57" t="s">
        <v>46</v>
      </c>
      <c r="N30" s="58"/>
      <c r="O30" s="58"/>
      <c r="P30" s="62"/>
      <c r="R30" s="47"/>
    </row>
    <row r="31" spans="2:18" ht="32.25" customHeight="1">
      <c r="B31" s="41">
        <v>20</v>
      </c>
      <c r="C31" s="117" t="s">
        <v>366</v>
      </c>
      <c r="D31" s="93"/>
      <c r="E31" s="93"/>
      <c r="F31" s="93"/>
      <c r="G31" s="93"/>
      <c r="H31" s="93"/>
      <c r="I31" s="93"/>
      <c r="J31" s="93"/>
      <c r="K31" s="94"/>
      <c r="L31" s="46"/>
      <c r="M31" s="57" t="s">
        <v>46</v>
      </c>
      <c r="N31" s="58"/>
      <c r="O31" s="58"/>
      <c r="P31" s="59"/>
    </row>
    <row r="32" spans="2:18" ht="56.25" customHeight="1">
      <c r="B32" s="41">
        <v>21</v>
      </c>
      <c r="C32" s="117" t="s">
        <v>685</v>
      </c>
      <c r="D32" s="93"/>
      <c r="E32" s="93"/>
      <c r="F32" s="93"/>
      <c r="G32" s="93"/>
      <c r="H32" s="93"/>
      <c r="I32" s="93"/>
      <c r="J32" s="93"/>
      <c r="K32" s="94"/>
      <c r="L32" s="46"/>
      <c r="M32" s="57" t="s">
        <v>46</v>
      </c>
      <c r="N32" s="58"/>
      <c r="O32" s="58"/>
      <c r="P32" s="59"/>
    </row>
    <row r="33" spans="2:16" ht="46.5" customHeight="1">
      <c r="B33" s="41">
        <v>22</v>
      </c>
      <c r="C33" s="134" t="s">
        <v>688</v>
      </c>
      <c r="D33" s="93"/>
      <c r="E33" s="93"/>
      <c r="F33" s="93"/>
      <c r="G33" s="93"/>
      <c r="H33" s="93"/>
      <c r="I33" s="93"/>
      <c r="J33" s="93"/>
      <c r="K33" s="94"/>
      <c r="L33" s="46"/>
      <c r="M33" s="57" t="s">
        <v>46</v>
      </c>
      <c r="N33" s="58"/>
      <c r="O33" s="58"/>
      <c r="P33" s="59"/>
    </row>
    <row r="34" spans="2:16" ht="32.25" customHeight="1">
      <c r="B34" s="41">
        <v>23</v>
      </c>
      <c r="C34" s="117" t="s">
        <v>687</v>
      </c>
      <c r="D34" s="93"/>
      <c r="E34" s="93"/>
      <c r="F34" s="93"/>
      <c r="G34" s="93"/>
      <c r="H34" s="93"/>
      <c r="I34" s="93"/>
      <c r="J34" s="93"/>
      <c r="K34" s="94"/>
      <c r="L34" s="46"/>
      <c r="M34" s="57" t="s">
        <v>46</v>
      </c>
      <c r="N34" s="58"/>
      <c r="O34" s="58"/>
      <c r="P34" s="59"/>
    </row>
    <row r="35" spans="2:16" ht="48.75" customHeight="1">
      <c r="B35" s="41">
        <v>24</v>
      </c>
      <c r="C35" s="134" t="s">
        <v>698</v>
      </c>
      <c r="D35" s="93"/>
      <c r="E35" s="93"/>
      <c r="F35" s="93"/>
      <c r="G35" s="93"/>
      <c r="H35" s="93"/>
      <c r="I35" s="93"/>
      <c r="J35" s="93"/>
      <c r="K35" s="94"/>
      <c r="L35" s="46"/>
      <c r="M35" s="68" t="s">
        <v>46</v>
      </c>
      <c r="N35" s="58"/>
      <c r="O35" s="58"/>
      <c r="P35" s="59"/>
    </row>
    <row r="36" spans="2:16" ht="27.75" customHeight="1">
      <c r="B36" s="41">
        <v>25</v>
      </c>
      <c r="C36" s="134" t="s">
        <v>695</v>
      </c>
      <c r="D36" s="93"/>
      <c r="E36" s="93"/>
      <c r="F36" s="93"/>
      <c r="G36" s="93"/>
      <c r="H36" s="93"/>
      <c r="I36" s="93"/>
      <c r="J36" s="93"/>
      <c r="K36" s="94"/>
      <c r="L36" s="46"/>
      <c r="M36" s="68" t="s">
        <v>46</v>
      </c>
      <c r="N36" s="58"/>
      <c r="O36" s="58"/>
      <c r="P36" s="62"/>
    </row>
    <row r="37" spans="2:16" ht="27.75" customHeight="1">
      <c r="B37" s="41">
        <v>26</v>
      </c>
      <c r="C37" s="134" t="s">
        <v>696</v>
      </c>
      <c r="D37" s="93"/>
      <c r="E37" s="93"/>
      <c r="F37" s="93"/>
      <c r="G37" s="93"/>
      <c r="H37" s="93"/>
      <c r="I37" s="93"/>
      <c r="J37" s="93"/>
      <c r="K37" s="94"/>
      <c r="L37" s="46"/>
      <c r="M37" s="68" t="s">
        <v>46</v>
      </c>
      <c r="N37" s="58"/>
      <c r="O37" s="58"/>
      <c r="P37" s="62"/>
    </row>
    <row r="38" spans="2:16" ht="32.25" customHeight="1">
      <c r="B38" s="41">
        <v>27</v>
      </c>
      <c r="C38" s="134" t="s">
        <v>690</v>
      </c>
      <c r="D38" s="93"/>
      <c r="E38" s="93"/>
      <c r="F38" s="93"/>
      <c r="G38" s="93"/>
      <c r="H38" s="93"/>
      <c r="I38" s="93"/>
      <c r="J38" s="93"/>
      <c r="K38" s="94"/>
      <c r="L38" s="46"/>
      <c r="M38" s="68" t="s">
        <v>46</v>
      </c>
      <c r="N38" s="58"/>
      <c r="O38" s="58"/>
      <c r="P38" s="62"/>
    </row>
    <row r="39" spans="2:16" ht="32.25" customHeight="1">
      <c r="B39" s="41">
        <v>28</v>
      </c>
      <c r="C39" s="134" t="s">
        <v>691</v>
      </c>
      <c r="D39" s="131"/>
      <c r="E39" s="131"/>
      <c r="F39" s="131"/>
      <c r="G39" s="131"/>
      <c r="H39" s="131"/>
      <c r="I39" s="131"/>
      <c r="J39" s="131"/>
      <c r="K39" s="132"/>
      <c r="L39" s="46"/>
      <c r="M39" s="68" t="s">
        <v>46</v>
      </c>
      <c r="N39" s="58"/>
      <c r="O39" s="58"/>
      <c r="P39" s="62"/>
    </row>
    <row r="40" spans="2:16" ht="32.25" customHeight="1">
      <c r="B40" s="41">
        <v>29</v>
      </c>
      <c r="C40" s="134" t="s">
        <v>692</v>
      </c>
      <c r="D40" s="93"/>
      <c r="E40" s="93"/>
      <c r="F40" s="93"/>
      <c r="G40" s="93"/>
      <c r="H40" s="93"/>
      <c r="I40" s="93"/>
      <c r="J40" s="93"/>
      <c r="K40" s="94"/>
      <c r="L40" s="46"/>
      <c r="M40" s="68" t="s">
        <v>46</v>
      </c>
      <c r="N40" s="58"/>
      <c r="O40" s="58"/>
      <c r="P40" s="62"/>
    </row>
    <row r="41" spans="2:16" ht="32.25" customHeight="1">
      <c r="B41" s="41">
        <v>30</v>
      </c>
      <c r="C41" s="134" t="s">
        <v>680</v>
      </c>
      <c r="D41" s="93"/>
      <c r="E41" s="93"/>
      <c r="F41" s="93"/>
      <c r="G41" s="93"/>
      <c r="H41" s="93"/>
      <c r="I41" s="93"/>
      <c r="J41" s="93"/>
      <c r="K41" s="94"/>
      <c r="L41" s="46"/>
      <c r="M41" s="68" t="s">
        <v>46</v>
      </c>
      <c r="N41" s="58"/>
      <c r="O41" s="58"/>
      <c r="P41" s="62"/>
    </row>
    <row r="42" spans="2:16" ht="48.75" customHeight="1">
      <c r="B42" s="41">
        <v>31</v>
      </c>
      <c r="C42" s="134" t="s">
        <v>699</v>
      </c>
      <c r="D42" s="93"/>
      <c r="E42" s="93"/>
      <c r="F42" s="93"/>
      <c r="G42" s="93"/>
      <c r="H42" s="93"/>
      <c r="I42" s="93"/>
      <c r="J42" s="93"/>
      <c r="K42" s="94"/>
      <c r="L42" s="46"/>
      <c r="M42" s="68" t="s">
        <v>46</v>
      </c>
      <c r="N42" s="58"/>
      <c r="O42" s="58"/>
      <c r="P42" s="62"/>
    </row>
    <row r="43" spans="2:16" ht="61.5" customHeight="1">
      <c r="B43" s="41">
        <v>32</v>
      </c>
      <c r="C43" s="134" t="s">
        <v>701</v>
      </c>
      <c r="D43" s="93"/>
      <c r="E43" s="93"/>
      <c r="F43" s="93"/>
      <c r="G43" s="93"/>
      <c r="H43" s="93"/>
      <c r="I43" s="93"/>
      <c r="J43" s="93"/>
      <c r="K43" s="94"/>
      <c r="L43" s="46"/>
      <c r="M43" s="68" t="s">
        <v>46</v>
      </c>
      <c r="N43" s="58"/>
      <c r="O43" s="58"/>
      <c r="P43" s="62"/>
    </row>
    <row r="44" spans="2:16" ht="32.25" customHeight="1">
      <c r="B44" s="41">
        <v>33</v>
      </c>
      <c r="C44" s="117" t="s">
        <v>367</v>
      </c>
      <c r="D44" s="93"/>
      <c r="E44" s="93"/>
      <c r="F44" s="93"/>
      <c r="G44" s="93"/>
      <c r="H44" s="93"/>
      <c r="I44" s="93"/>
      <c r="J44" s="93"/>
      <c r="K44" s="94"/>
      <c r="L44" s="46"/>
      <c r="M44" s="57" t="s">
        <v>46</v>
      </c>
      <c r="N44" s="58"/>
      <c r="O44" s="58"/>
      <c r="P44" s="59"/>
    </row>
    <row r="45" spans="2:16" ht="32.25" customHeight="1">
      <c r="B45" s="41">
        <v>34</v>
      </c>
      <c r="C45" s="117" t="s">
        <v>368</v>
      </c>
      <c r="D45" s="93"/>
      <c r="E45" s="93"/>
      <c r="F45" s="93"/>
      <c r="G45" s="93"/>
      <c r="H45" s="93"/>
      <c r="I45" s="93"/>
      <c r="J45" s="93"/>
      <c r="K45" s="94"/>
      <c r="L45" s="46"/>
      <c r="M45" s="57" t="s">
        <v>46</v>
      </c>
      <c r="N45" s="58"/>
      <c r="O45" s="58"/>
      <c r="P45" s="59"/>
    </row>
    <row r="46" spans="2:16" ht="32.25" customHeight="1">
      <c r="B46" s="41">
        <v>35</v>
      </c>
      <c r="C46" s="117" t="s">
        <v>369</v>
      </c>
      <c r="D46" s="93"/>
      <c r="E46" s="93"/>
      <c r="F46" s="93"/>
      <c r="G46" s="93"/>
      <c r="H46" s="93"/>
      <c r="I46" s="93"/>
      <c r="J46" s="93"/>
      <c r="K46" s="94"/>
      <c r="L46" s="46"/>
      <c r="M46" s="57" t="s">
        <v>46</v>
      </c>
      <c r="N46" s="58"/>
      <c r="O46" s="58"/>
      <c r="P46" s="59"/>
    </row>
    <row r="47" spans="2:16" ht="32.25" customHeight="1">
      <c r="B47" s="41">
        <v>36</v>
      </c>
      <c r="C47" s="117" t="s">
        <v>773</v>
      </c>
      <c r="D47" s="93"/>
      <c r="E47" s="93"/>
      <c r="F47" s="93"/>
      <c r="G47" s="93"/>
      <c r="H47" s="93"/>
      <c r="I47" s="93"/>
      <c r="J47" s="93"/>
      <c r="K47" s="94"/>
      <c r="L47" s="46"/>
      <c r="M47" s="57" t="s">
        <v>46</v>
      </c>
      <c r="N47" s="58"/>
      <c r="O47" s="58"/>
      <c r="P47" s="59"/>
    </row>
    <row r="48" spans="2:16" ht="32.25" customHeight="1">
      <c r="B48" s="41">
        <v>37</v>
      </c>
      <c r="C48" s="117" t="s">
        <v>370</v>
      </c>
      <c r="D48" s="93"/>
      <c r="E48" s="93"/>
      <c r="F48" s="93"/>
      <c r="G48" s="93"/>
      <c r="H48" s="93"/>
      <c r="I48" s="93"/>
      <c r="J48" s="93"/>
      <c r="K48" s="94"/>
      <c r="L48" s="46"/>
      <c r="M48" s="57" t="s">
        <v>46</v>
      </c>
      <c r="N48" s="58"/>
      <c r="O48" s="58"/>
      <c r="P48" s="59"/>
    </row>
    <row r="49" spans="2:18" ht="32.25" customHeight="1">
      <c r="B49" s="41">
        <v>38</v>
      </c>
      <c r="C49" s="117" t="s">
        <v>371</v>
      </c>
      <c r="D49" s="93"/>
      <c r="E49" s="93"/>
      <c r="F49" s="93"/>
      <c r="G49" s="93"/>
      <c r="H49" s="93"/>
      <c r="I49" s="93"/>
      <c r="J49" s="93"/>
      <c r="K49" s="94"/>
      <c r="L49" s="46"/>
      <c r="M49" s="68" t="s">
        <v>46</v>
      </c>
      <c r="N49" s="58"/>
      <c r="O49" s="58"/>
      <c r="P49" s="59"/>
    </row>
    <row r="50" spans="2:18" ht="32.25" customHeight="1">
      <c r="B50" s="41">
        <v>39</v>
      </c>
      <c r="C50" s="117" t="s">
        <v>372</v>
      </c>
      <c r="D50" s="93"/>
      <c r="E50" s="93"/>
      <c r="F50" s="93"/>
      <c r="G50" s="93"/>
      <c r="H50" s="93"/>
      <c r="I50" s="93"/>
      <c r="J50" s="93"/>
      <c r="K50" s="94"/>
      <c r="L50" s="46"/>
      <c r="M50" s="68" t="s">
        <v>46</v>
      </c>
      <c r="N50" s="58"/>
      <c r="O50" s="58"/>
      <c r="P50" s="59"/>
    </row>
    <row r="51" spans="2:18" ht="32.25" customHeight="1">
      <c r="B51" s="41">
        <v>40</v>
      </c>
      <c r="C51" s="117" t="s">
        <v>373</v>
      </c>
      <c r="D51" s="93"/>
      <c r="E51" s="93"/>
      <c r="F51" s="93"/>
      <c r="G51" s="93"/>
      <c r="H51" s="93"/>
      <c r="I51" s="93"/>
      <c r="J51" s="93"/>
      <c r="K51" s="94"/>
      <c r="L51" s="46"/>
      <c r="M51" s="68" t="s">
        <v>46</v>
      </c>
      <c r="N51" s="58"/>
      <c r="O51" s="58"/>
      <c r="P51" s="59"/>
    </row>
    <row r="52" spans="2:18" ht="32.25" customHeight="1">
      <c r="B52" s="41">
        <v>41</v>
      </c>
      <c r="C52" s="117" t="s">
        <v>374</v>
      </c>
      <c r="D52" s="93"/>
      <c r="E52" s="93"/>
      <c r="F52" s="93"/>
      <c r="G52" s="93"/>
      <c r="H52" s="93"/>
      <c r="I52" s="93"/>
      <c r="J52" s="93"/>
      <c r="K52" s="94"/>
      <c r="L52" s="46"/>
      <c r="M52" s="57" t="s">
        <v>46</v>
      </c>
      <c r="N52" s="58"/>
      <c r="O52" s="58"/>
      <c r="P52" s="59"/>
    </row>
    <row r="53" spans="2:18" ht="32.25" customHeight="1">
      <c r="B53" s="41">
        <v>42</v>
      </c>
      <c r="C53" s="117" t="s">
        <v>375</v>
      </c>
      <c r="D53" s="93"/>
      <c r="E53" s="93"/>
      <c r="F53" s="93"/>
      <c r="G53" s="93"/>
      <c r="H53" s="93"/>
      <c r="I53" s="93"/>
      <c r="J53" s="93"/>
      <c r="K53" s="94"/>
      <c r="L53" s="46"/>
      <c r="M53" s="57"/>
      <c r="N53" s="58" t="s">
        <v>46</v>
      </c>
      <c r="O53" s="58"/>
      <c r="P53" s="59"/>
    </row>
    <row r="54" spans="2:18" ht="32.25" customHeight="1">
      <c r="B54" s="41">
        <v>43</v>
      </c>
      <c r="C54" s="117" t="s">
        <v>376</v>
      </c>
      <c r="D54" s="93"/>
      <c r="E54" s="93"/>
      <c r="F54" s="93"/>
      <c r="G54" s="93"/>
      <c r="H54" s="93"/>
      <c r="I54" s="93"/>
      <c r="J54" s="93"/>
      <c r="K54" s="94"/>
      <c r="L54" s="46"/>
      <c r="M54" s="68" t="s">
        <v>46</v>
      </c>
      <c r="N54" s="58"/>
      <c r="O54" s="58"/>
      <c r="P54" s="59"/>
      <c r="R54" s="69" t="s">
        <v>689</v>
      </c>
    </row>
    <row r="55" spans="2:18" ht="32.25" customHeight="1">
      <c r="B55" s="41">
        <v>44</v>
      </c>
      <c r="C55" s="117" t="s">
        <v>377</v>
      </c>
      <c r="D55" s="93"/>
      <c r="E55" s="93"/>
      <c r="F55" s="93"/>
      <c r="G55" s="93"/>
      <c r="H55" s="93"/>
      <c r="I55" s="93"/>
      <c r="J55" s="93"/>
      <c r="K55" s="94"/>
      <c r="L55" s="46"/>
      <c r="M55" s="57"/>
      <c r="N55" s="58" t="s">
        <v>46</v>
      </c>
      <c r="O55" s="58"/>
      <c r="P55" s="59"/>
    </row>
    <row r="56" spans="2:18" ht="32.25" customHeight="1">
      <c r="B56" s="41">
        <v>45</v>
      </c>
      <c r="C56" s="117" t="s">
        <v>378</v>
      </c>
      <c r="D56" s="93"/>
      <c r="E56" s="93"/>
      <c r="F56" s="93"/>
      <c r="G56" s="93"/>
      <c r="H56" s="93"/>
      <c r="I56" s="93"/>
      <c r="J56" s="93"/>
      <c r="K56" s="94"/>
      <c r="L56" s="46"/>
      <c r="M56" s="68" t="s">
        <v>46</v>
      </c>
      <c r="N56" s="58"/>
      <c r="O56" s="58"/>
      <c r="P56" s="59"/>
    </row>
    <row r="57" spans="2:18" ht="14.25" customHeight="1"/>
    <row r="58" spans="2:18" ht="14.25" customHeight="1"/>
    <row r="59" spans="2:18" ht="14.25" customHeight="1">
      <c r="B59" s="35"/>
      <c r="C59" s="125" t="s">
        <v>379</v>
      </c>
      <c r="D59" s="99"/>
      <c r="E59" s="99"/>
      <c r="F59" s="99"/>
      <c r="G59" s="99"/>
      <c r="H59" s="99"/>
      <c r="I59" s="99"/>
      <c r="J59" s="100"/>
      <c r="K59" s="36"/>
    </row>
    <row r="60" spans="2:18" ht="14.25" customHeight="1"/>
    <row r="61" spans="2:18" ht="14.25" customHeight="1">
      <c r="B61" s="40"/>
      <c r="C61" s="120"/>
      <c r="D61" s="109"/>
      <c r="E61" s="110"/>
      <c r="F61" s="36"/>
      <c r="G61" s="36"/>
      <c r="H61" s="36"/>
      <c r="I61" s="36"/>
      <c r="J61" s="36"/>
      <c r="K61" s="36"/>
    </row>
    <row r="62" spans="2:18" ht="32.25" customHeight="1">
      <c r="B62" s="41">
        <v>1</v>
      </c>
      <c r="C62" s="117" t="s">
        <v>380</v>
      </c>
      <c r="D62" s="93"/>
      <c r="E62" s="93"/>
      <c r="F62" s="93"/>
      <c r="G62" s="93"/>
      <c r="H62" s="93"/>
      <c r="I62" s="93"/>
      <c r="J62" s="93"/>
      <c r="K62" s="94"/>
      <c r="L62" s="42"/>
      <c r="M62" s="57" t="s">
        <v>46</v>
      </c>
      <c r="N62" s="58"/>
      <c r="O62" s="58"/>
      <c r="P62" s="59"/>
    </row>
    <row r="63" spans="2:18" ht="32.25" customHeight="1">
      <c r="B63" s="35">
        <v>2</v>
      </c>
      <c r="C63" s="117" t="s">
        <v>381</v>
      </c>
      <c r="D63" s="93"/>
      <c r="E63" s="93"/>
      <c r="F63" s="93"/>
      <c r="G63" s="93"/>
      <c r="H63" s="93"/>
      <c r="I63" s="93"/>
      <c r="J63" s="93"/>
      <c r="K63" s="94"/>
      <c r="L63" s="44"/>
      <c r="M63" s="57" t="s">
        <v>46</v>
      </c>
      <c r="N63" s="58"/>
      <c r="O63" s="58"/>
      <c r="P63" s="59"/>
    </row>
    <row r="64" spans="2:18" ht="32.25" customHeight="1">
      <c r="B64" s="41">
        <v>3</v>
      </c>
      <c r="C64" s="117" t="s">
        <v>382</v>
      </c>
      <c r="D64" s="93"/>
      <c r="E64" s="93"/>
      <c r="F64" s="93"/>
      <c r="G64" s="93"/>
      <c r="H64" s="93"/>
      <c r="I64" s="93"/>
      <c r="J64" s="93"/>
      <c r="K64" s="94"/>
      <c r="M64" s="57" t="s">
        <v>46</v>
      </c>
      <c r="N64" s="58"/>
      <c r="O64" s="58"/>
      <c r="P64" s="59"/>
    </row>
    <row r="65" spans="2:18" ht="32.25" customHeight="1">
      <c r="B65" s="41">
        <v>4</v>
      </c>
      <c r="C65" s="117" t="s">
        <v>383</v>
      </c>
      <c r="D65" s="93"/>
      <c r="E65" s="93"/>
      <c r="F65" s="93"/>
      <c r="G65" s="93"/>
      <c r="H65" s="93"/>
      <c r="I65" s="93"/>
      <c r="J65" s="93"/>
      <c r="K65" s="94"/>
      <c r="M65" s="57" t="s">
        <v>46</v>
      </c>
      <c r="N65" s="58"/>
      <c r="O65" s="58"/>
      <c r="P65" s="59"/>
      <c r="R65" s="47" t="s">
        <v>384</v>
      </c>
    </row>
    <row r="66" spans="2:18" ht="32.25" customHeight="1">
      <c r="B66" s="41">
        <v>5</v>
      </c>
      <c r="C66" s="117" t="s">
        <v>385</v>
      </c>
      <c r="D66" s="93"/>
      <c r="E66" s="93"/>
      <c r="F66" s="93"/>
      <c r="G66" s="93"/>
      <c r="H66" s="93"/>
      <c r="I66" s="93"/>
      <c r="J66" s="93"/>
      <c r="K66" s="94"/>
      <c r="L66" s="42"/>
      <c r="M66" s="57" t="s">
        <v>46</v>
      </c>
      <c r="N66" s="58"/>
      <c r="O66" s="58"/>
      <c r="P66" s="59"/>
    </row>
    <row r="67" spans="2:18" ht="32.25" customHeight="1">
      <c r="B67" s="41">
        <v>6</v>
      </c>
      <c r="C67" s="117" t="s">
        <v>386</v>
      </c>
      <c r="D67" s="93"/>
      <c r="E67" s="93"/>
      <c r="F67" s="93"/>
      <c r="G67" s="93"/>
      <c r="H67" s="93"/>
      <c r="I67" s="93"/>
      <c r="J67" s="93"/>
      <c r="K67" s="94"/>
      <c r="L67" s="46"/>
      <c r="M67" s="57" t="s">
        <v>46</v>
      </c>
      <c r="N67" s="58"/>
      <c r="O67" s="58"/>
      <c r="P67" s="59"/>
    </row>
    <row r="68" spans="2:18" ht="32.25" customHeight="1">
      <c r="B68" s="35">
        <v>7</v>
      </c>
      <c r="C68" s="117" t="s">
        <v>387</v>
      </c>
      <c r="D68" s="93"/>
      <c r="E68" s="93"/>
      <c r="F68" s="93"/>
      <c r="G68" s="93"/>
      <c r="H68" s="93"/>
      <c r="I68" s="93"/>
      <c r="J68" s="93"/>
      <c r="K68" s="94"/>
      <c r="L68" s="46"/>
      <c r="M68" s="57" t="s">
        <v>46</v>
      </c>
      <c r="N68" s="58"/>
      <c r="O68" s="58"/>
      <c r="P68" s="59"/>
    </row>
    <row r="69" spans="2:18" ht="32.25" customHeight="1">
      <c r="B69" s="41">
        <v>8</v>
      </c>
      <c r="C69" s="117" t="s">
        <v>388</v>
      </c>
      <c r="D69" s="93"/>
      <c r="E69" s="93"/>
      <c r="F69" s="93"/>
      <c r="G69" s="93"/>
      <c r="H69" s="93"/>
      <c r="I69" s="93"/>
      <c r="J69" s="93"/>
      <c r="K69" s="94"/>
      <c r="L69" s="46"/>
      <c r="M69" s="57" t="s">
        <v>46</v>
      </c>
      <c r="N69" s="58"/>
      <c r="O69" s="58"/>
      <c r="P69" s="59"/>
    </row>
    <row r="70" spans="2:18" ht="32.25" customHeight="1">
      <c r="B70" s="41">
        <v>9</v>
      </c>
      <c r="C70" s="117" t="s">
        <v>389</v>
      </c>
      <c r="D70" s="93"/>
      <c r="E70" s="93"/>
      <c r="F70" s="93"/>
      <c r="G70" s="93"/>
      <c r="H70" s="93"/>
      <c r="I70" s="93"/>
      <c r="J70" s="93"/>
      <c r="K70" s="94"/>
      <c r="L70" s="46"/>
      <c r="M70" s="57" t="s">
        <v>46</v>
      </c>
      <c r="N70" s="58"/>
      <c r="O70" s="58"/>
      <c r="P70" s="59"/>
    </row>
    <row r="71" spans="2:18" ht="32.25" customHeight="1">
      <c r="B71" s="41">
        <v>10</v>
      </c>
      <c r="C71" s="117" t="s">
        <v>390</v>
      </c>
      <c r="D71" s="93"/>
      <c r="E71" s="93"/>
      <c r="F71" s="93"/>
      <c r="G71" s="93"/>
      <c r="H71" s="93"/>
      <c r="I71" s="93"/>
      <c r="J71" s="93"/>
      <c r="K71" s="94"/>
      <c r="L71" s="46"/>
      <c r="M71" s="57" t="s">
        <v>46</v>
      </c>
      <c r="N71" s="58"/>
      <c r="O71" s="58"/>
      <c r="P71" s="59"/>
    </row>
    <row r="72" spans="2:18" ht="32.25" customHeight="1">
      <c r="B72" s="41">
        <v>11</v>
      </c>
      <c r="C72" s="117"/>
      <c r="D72" s="93"/>
      <c r="E72" s="93"/>
      <c r="F72" s="93"/>
      <c r="G72" s="93"/>
      <c r="H72" s="93"/>
      <c r="I72" s="93"/>
      <c r="J72" s="93"/>
      <c r="K72" s="94"/>
      <c r="L72" s="46"/>
      <c r="M72" s="57"/>
      <c r="N72" s="58"/>
      <c r="O72" s="58"/>
      <c r="P72" s="59"/>
    </row>
    <row r="73" spans="2:18" ht="32.25" customHeight="1">
      <c r="B73" s="35">
        <v>12</v>
      </c>
      <c r="C73" s="117"/>
      <c r="D73" s="93"/>
      <c r="E73" s="93"/>
      <c r="F73" s="93"/>
      <c r="G73" s="93"/>
      <c r="H73" s="93"/>
      <c r="I73" s="93"/>
      <c r="J73" s="93"/>
      <c r="K73" s="94"/>
      <c r="L73" s="46"/>
      <c r="M73" s="57"/>
      <c r="N73" s="58"/>
      <c r="O73" s="58"/>
      <c r="P73" s="59"/>
    </row>
    <row r="74" spans="2:18" ht="32.25" customHeight="1">
      <c r="B74" s="41">
        <v>13</v>
      </c>
      <c r="C74" s="117"/>
      <c r="D74" s="93"/>
      <c r="E74" s="93"/>
      <c r="F74" s="93"/>
      <c r="G74" s="93"/>
      <c r="H74" s="93"/>
      <c r="I74" s="93"/>
      <c r="J74" s="93"/>
      <c r="K74" s="94"/>
      <c r="L74" s="44"/>
      <c r="M74" s="57"/>
      <c r="N74" s="58"/>
      <c r="O74" s="58"/>
      <c r="P74" s="59"/>
    </row>
    <row r="75" spans="2:18" ht="14.25" customHeight="1">
      <c r="B75" s="29"/>
    </row>
    <row r="76" spans="2:18" ht="14.25" customHeight="1">
      <c r="B76" s="29"/>
    </row>
    <row r="77" spans="2:18" ht="14.25" customHeight="1">
      <c r="B77" s="29"/>
    </row>
    <row r="78" spans="2:18" ht="14.25" customHeight="1">
      <c r="B78" s="29"/>
    </row>
    <row r="79" spans="2:18" ht="14.25" customHeight="1">
      <c r="B79" s="29"/>
    </row>
    <row r="80" spans="2:18"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row r="1001" spans="2:2" ht="14.25" customHeight="1">
      <c r="B1001" s="29"/>
    </row>
    <row r="1002" spans="2:2" ht="14.25" customHeight="1">
      <c r="B1002" s="29"/>
    </row>
    <row r="1003" spans="2:2" ht="14.25" customHeight="1">
      <c r="B1003" s="29"/>
    </row>
    <row r="1004" spans="2:2" ht="14.25" customHeight="1">
      <c r="B1004" s="29"/>
    </row>
    <row r="1005" spans="2:2" ht="14.25" customHeight="1">
      <c r="B1005" s="29"/>
    </row>
    <row r="1006" spans="2:2" ht="14.25" customHeight="1">
      <c r="B1006" s="29"/>
    </row>
    <row r="1007" spans="2:2" ht="14.25" customHeight="1">
      <c r="B1007" s="29"/>
    </row>
    <row r="1008" spans="2:2" ht="14.25" customHeight="1">
      <c r="B1008" s="29"/>
    </row>
    <row r="1009" spans="2:2" ht="14.25" customHeight="1">
      <c r="B1009" s="29"/>
    </row>
    <row r="1010" spans="2:2" ht="14.25" customHeight="1">
      <c r="B1010" s="29"/>
    </row>
    <row r="1011" spans="2:2" ht="14.25" customHeight="1">
      <c r="B1011" s="29"/>
    </row>
    <row r="1012" spans="2:2" ht="14.25" customHeight="1">
      <c r="B1012" s="29"/>
    </row>
    <row r="1013" spans="2:2" ht="14.25" customHeight="1">
      <c r="B1013" s="29"/>
    </row>
  </sheetData>
  <mergeCells count="68">
    <mergeCell ref="C2:G2"/>
    <mergeCell ref="C3:G3"/>
    <mergeCell ref="C4:G4"/>
    <mergeCell ref="B5:C5"/>
    <mergeCell ref="M8:O8"/>
    <mergeCell ref="C19:K19"/>
    <mergeCell ref="C20:K20"/>
    <mergeCell ref="C21:K21"/>
    <mergeCell ref="C22:K22"/>
    <mergeCell ref="P8:P9"/>
    <mergeCell ref="C9:J9"/>
    <mergeCell ref="C11:E11"/>
    <mergeCell ref="C12:K12"/>
    <mergeCell ref="C13:K13"/>
    <mergeCell ref="C14:K14"/>
    <mergeCell ref="C15:K15"/>
    <mergeCell ref="C16:K16"/>
    <mergeCell ref="C17:K17"/>
    <mergeCell ref="C18:K18"/>
    <mergeCell ref="C23:K23"/>
    <mergeCell ref="C43:K43"/>
    <mergeCell ref="C31:K31"/>
    <mergeCell ref="C32:K32"/>
    <mergeCell ref="C33:K33"/>
    <mergeCell ref="C34:K34"/>
    <mergeCell ref="C30:K30"/>
    <mergeCell ref="C24:K24"/>
    <mergeCell ref="C25:K25"/>
    <mergeCell ref="C27:K27"/>
    <mergeCell ref="C28:K28"/>
    <mergeCell ref="C29:K29"/>
    <mergeCell ref="C26:K26"/>
    <mergeCell ref="C48:K48"/>
    <mergeCell ref="C49:K49"/>
    <mergeCell ref="C50:K50"/>
    <mergeCell ref="C51:K51"/>
    <mergeCell ref="C35:K35"/>
    <mergeCell ref="C44:K44"/>
    <mergeCell ref="C45:K45"/>
    <mergeCell ref="C46:K46"/>
    <mergeCell ref="C47:K47"/>
    <mergeCell ref="C38:K38"/>
    <mergeCell ref="C39:K39"/>
    <mergeCell ref="C40:K40"/>
    <mergeCell ref="C41:K41"/>
    <mergeCell ref="C42:K42"/>
    <mergeCell ref="C36:K36"/>
    <mergeCell ref="C37:K37"/>
    <mergeCell ref="C52:K52"/>
    <mergeCell ref="C53:K53"/>
    <mergeCell ref="C54:K54"/>
    <mergeCell ref="C55:K55"/>
    <mergeCell ref="C56:K56"/>
    <mergeCell ref="C59:J59"/>
    <mergeCell ref="C61:E61"/>
    <mergeCell ref="C69:K69"/>
    <mergeCell ref="C70:K70"/>
    <mergeCell ref="C71:K71"/>
    <mergeCell ref="C72:K72"/>
    <mergeCell ref="C73:K73"/>
    <mergeCell ref="C74:K74"/>
    <mergeCell ref="C62:K62"/>
    <mergeCell ref="C63:K63"/>
    <mergeCell ref="C64:K64"/>
    <mergeCell ref="C65:K65"/>
    <mergeCell ref="C66:K66"/>
    <mergeCell ref="C67:K67"/>
    <mergeCell ref="C68:K68"/>
  </mergeCells>
  <hyperlinks>
    <hyperlink ref="T2" location="'REQ. FUN. GEN'!A1" display="Volver" xr:uid="{00000000-0004-0000-1000-000000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T1019"/>
  <sheetViews>
    <sheetView topLeftCell="A39" workbookViewId="0">
      <selection activeCell="N24" sqref="N24"/>
    </sheetView>
  </sheetViews>
  <sheetFormatPr baseColWidth="10" defaultColWidth="12.5703125" defaultRowHeight="15" customHeight="1"/>
  <cols>
    <col min="1" max="1" width="10.5703125" customWidth="1"/>
    <col min="2" max="2" width="4.28515625" customWidth="1"/>
    <col min="3" max="15" width="10.5703125" customWidth="1"/>
    <col min="16" max="16" width="22.7109375" customWidth="1"/>
    <col min="17" max="26" width="10.5703125" customWidth="1"/>
  </cols>
  <sheetData>
    <row r="1" spans="2:20" ht="14.25" customHeight="1">
      <c r="B1" s="29"/>
    </row>
    <row r="2" spans="2:20" ht="14.25" customHeight="1">
      <c r="B2" s="30" t="s">
        <v>32</v>
      </c>
      <c r="C2" s="126" t="s">
        <v>33</v>
      </c>
      <c r="D2" s="104"/>
      <c r="E2" s="104"/>
      <c r="F2" s="104"/>
      <c r="G2" s="104"/>
      <c r="T2" s="56" t="s">
        <v>13</v>
      </c>
    </row>
    <row r="3" spans="2:20" ht="14.25" customHeight="1">
      <c r="B3" s="30" t="s">
        <v>34</v>
      </c>
      <c r="C3" s="126" t="s">
        <v>35</v>
      </c>
      <c r="D3" s="104"/>
      <c r="E3" s="104"/>
      <c r="F3" s="104"/>
      <c r="G3" s="104"/>
    </row>
    <row r="4" spans="2:20" ht="14.25" customHeight="1">
      <c r="B4" s="30" t="s">
        <v>36</v>
      </c>
      <c r="C4" s="126" t="s">
        <v>37</v>
      </c>
      <c r="D4" s="104"/>
      <c r="E4" s="104"/>
      <c r="F4" s="104"/>
      <c r="G4" s="104"/>
    </row>
    <row r="5" spans="2:20" ht="14.25" customHeight="1">
      <c r="B5" s="127" t="s">
        <v>38</v>
      </c>
      <c r="C5" s="104"/>
      <c r="D5" s="32" t="s">
        <v>39</v>
      </c>
      <c r="E5" s="32"/>
      <c r="F5" s="32"/>
      <c r="G5" s="33"/>
    </row>
    <row r="6" spans="2:20" ht="14.25" customHeight="1">
      <c r="B6" s="29"/>
    </row>
    <row r="7" spans="2:20" ht="14.25" customHeight="1">
      <c r="B7" s="34" t="s">
        <v>40</v>
      </c>
    </row>
    <row r="8" spans="2:20" ht="14.25" customHeight="1">
      <c r="B8" s="29"/>
      <c r="M8" s="128" t="s">
        <v>41</v>
      </c>
      <c r="N8" s="129"/>
      <c r="O8" s="130"/>
      <c r="P8" s="123" t="s">
        <v>42</v>
      </c>
    </row>
    <row r="9" spans="2:20" ht="14.25" customHeight="1">
      <c r="B9" s="35"/>
      <c r="C9" s="125" t="s">
        <v>391</v>
      </c>
      <c r="D9" s="99"/>
      <c r="E9" s="99"/>
      <c r="F9" s="99"/>
      <c r="G9" s="99"/>
      <c r="H9" s="99"/>
      <c r="I9" s="99"/>
      <c r="J9" s="100"/>
      <c r="K9" s="36"/>
      <c r="M9" s="37" t="s">
        <v>32</v>
      </c>
      <c r="N9" s="38" t="s">
        <v>34</v>
      </c>
      <c r="O9" s="38" t="s">
        <v>36</v>
      </c>
      <c r="P9" s="124"/>
    </row>
    <row r="10" spans="2:20" ht="14.25" customHeight="1">
      <c r="B10" s="39"/>
    </row>
    <row r="11" spans="2:20" ht="14.25" customHeight="1">
      <c r="B11" s="40"/>
      <c r="C11" s="120"/>
      <c r="D11" s="109"/>
      <c r="E11" s="110"/>
      <c r="F11" s="36"/>
      <c r="G11" s="36"/>
      <c r="H11" s="36"/>
      <c r="I11" s="36"/>
      <c r="J11" s="36"/>
      <c r="K11" s="36"/>
    </row>
    <row r="12" spans="2:20" ht="33" customHeight="1">
      <c r="B12" s="41">
        <v>1</v>
      </c>
      <c r="C12" s="117" t="s">
        <v>754</v>
      </c>
      <c r="D12" s="93"/>
      <c r="E12" s="93"/>
      <c r="F12" s="93"/>
      <c r="G12" s="93"/>
      <c r="H12" s="93"/>
      <c r="I12" s="93"/>
      <c r="J12" s="93"/>
      <c r="K12" s="94"/>
      <c r="L12" s="42"/>
      <c r="M12" s="57" t="s">
        <v>46</v>
      </c>
      <c r="N12" s="58"/>
      <c r="O12" s="58"/>
      <c r="P12" s="59"/>
    </row>
    <row r="13" spans="2:20" ht="33" customHeight="1">
      <c r="B13" s="63">
        <v>2</v>
      </c>
      <c r="C13" s="117" t="s">
        <v>744</v>
      </c>
      <c r="D13" s="93"/>
      <c r="E13" s="93"/>
      <c r="F13" s="93"/>
      <c r="G13" s="93"/>
      <c r="H13" s="93"/>
      <c r="I13" s="93"/>
      <c r="J13" s="93"/>
      <c r="K13" s="94"/>
      <c r="L13" s="64"/>
      <c r="M13" s="57" t="s">
        <v>46</v>
      </c>
      <c r="N13" s="58"/>
      <c r="O13" s="58"/>
      <c r="P13" s="62"/>
    </row>
    <row r="14" spans="2:20" ht="33" customHeight="1">
      <c r="B14" s="63">
        <v>3</v>
      </c>
      <c r="C14" s="117" t="s">
        <v>745</v>
      </c>
      <c r="D14" s="93"/>
      <c r="E14" s="93"/>
      <c r="F14" s="93"/>
      <c r="G14" s="93"/>
      <c r="H14" s="93"/>
      <c r="I14" s="93"/>
      <c r="J14" s="93"/>
      <c r="K14" s="94"/>
      <c r="L14" s="64"/>
      <c r="M14" s="57" t="s">
        <v>46</v>
      </c>
      <c r="N14" s="58"/>
      <c r="O14" s="58"/>
      <c r="P14" s="62"/>
    </row>
    <row r="15" spans="2:20" ht="33" customHeight="1">
      <c r="B15" s="41">
        <v>4</v>
      </c>
      <c r="C15" s="117" t="s">
        <v>746</v>
      </c>
      <c r="D15" s="93"/>
      <c r="E15" s="93"/>
      <c r="F15" s="93"/>
      <c r="G15" s="93"/>
      <c r="H15" s="93"/>
      <c r="I15" s="93"/>
      <c r="J15" s="93"/>
      <c r="K15" s="94"/>
      <c r="L15" s="64"/>
      <c r="M15" s="57" t="s">
        <v>46</v>
      </c>
      <c r="N15" s="58"/>
      <c r="O15" s="58"/>
      <c r="P15" s="62"/>
    </row>
    <row r="16" spans="2:20" ht="33" customHeight="1">
      <c r="B16" s="63">
        <v>5</v>
      </c>
      <c r="C16" s="117" t="s">
        <v>747</v>
      </c>
      <c r="D16" s="93"/>
      <c r="E16" s="93"/>
      <c r="F16" s="93"/>
      <c r="G16" s="93"/>
      <c r="H16" s="93"/>
      <c r="I16" s="93"/>
      <c r="J16" s="93"/>
      <c r="K16" s="94"/>
      <c r="L16" s="64"/>
      <c r="M16" s="57" t="s">
        <v>46</v>
      </c>
      <c r="N16" s="58"/>
      <c r="O16" s="58"/>
      <c r="P16" s="62"/>
    </row>
    <row r="17" spans="2:18" ht="33" customHeight="1">
      <c r="B17" s="63">
        <v>6</v>
      </c>
      <c r="C17" s="117" t="s">
        <v>748</v>
      </c>
      <c r="D17" s="93"/>
      <c r="E17" s="93"/>
      <c r="F17" s="93"/>
      <c r="G17" s="93"/>
      <c r="H17" s="93"/>
      <c r="I17" s="93"/>
      <c r="J17" s="93"/>
      <c r="K17" s="94"/>
      <c r="L17" s="64"/>
      <c r="M17" s="57" t="s">
        <v>46</v>
      </c>
      <c r="N17" s="58"/>
      <c r="O17" s="58"/>
      <c r="P17" s="62"/>
    </row>
    <row r="18" spans="2:18" ht="33" customHeight="1">
      <c r="B18" s="41">
        <v>7</v>
      </c>
      <c r="C18" s="117" t="s">
        <v>749</v>
      </c>
      <c r="D18" s="93"/>
      <c r="E18" s="93"/>
      <c r="F18" s="93"/>
      <c r="G18" s="93"/>
      <c r="H18" s="93"/>
      <c r="I18" s="93"/>
      <c r="J18" s="93"/>
      <c r="K18" s="94"/>
      <c r="L18" s="64"/>
      <c r="M18" s="57" t="s">
        <v>46</v>
      </c>
      <c r="N18" s="58"/>
      <c r="O18" s="58"/>
      <c r="P18" s="62"/>
    </row>
    <row r="19" spans="2:18" ht="33" customHeight="1">
      <c r="B19" s="63">
        <v>8</v>
      </c>
      <c r="C19" s="117" t="s">
        <v>750</v>
      </c>
      <c r="D19" s="93"/>
      <c r="E19" s="93"/>
      <c r="F19" s="93"/>
      <c r="G19" s="93"/>
      <c r="H19" s="93"/>
      <c r="I19" s="93"/>
      <c r="J19" s="93"/>
      <c r="K19" s="94"/>
      <c r="L19" s="64"/>
      <c r="M19" s="57" t="s">
        <v>46</v>
      </c>
      <c r="N19" s="58"/>
      <c r="O19" s="58"/>
      <c r="P19" s="62"/>
    </row>
    <row r="20" spans="2:18" ht="33" customHeight="1">
      <c r="B20" s="63">
        <v>9</v>
      </c>
      <c r="C20" s="117" t="s">
        <v>751</v>
      </c>
      <c r="D20" s="93"/>
      <c r="E20" s="93"/>
      <c r="F20" s="93"/>
      <c r="G20" s="93"/>
      <c r="H20" s="93"/>
      <c r="I20" s="93"/>
      <c r="J20" s="93"/>
      <c r="K20" s="94"/>
      <c r="L20" s="64"/>
      <c r="M20" s="57" t="s">
        <v>46</v>
      </c>
      <c r="N20" s="58"/>
      <c r="O20" s="58"/>
      <c r="P20" s="62"/>
    </row>
    <row r="21" spans="2:18" ht="33" customHeight="1">
      <c r="B21" s="41">
        <v>10</v>
      </c>
      <c r="C21" s="117" t="s">
        <v>752</v>
      </c>
      <c r="D21" s="93"/>
      <c r="E21" s="93"/>
      <c r="F21" s="93"/>
      <c r="G21" s="93"/>
      <c r="H21" s="93"/>
      <c r="I21" s="93"/>
      <c r="J21" s="93"/>
      <c r="K21" s="94"/>
      <c r="L21" s="64"/>
      <c r="M21" s="57" t="s">
        <v>46</v>
      </c>
      <c r="N21" s="58"/>
      <c r="O21" s="58"/>
      <c r="P21" s="62"/>
    </row>
    <row r="22" spans="2:18" ht="33" customHeight="1">
      <c r="B22" s="63">
        <v>11</v>
      </c>
      <c r="C22" s="117" t="s">
        <v>753</v>
      </c>
      <c r="D22" s="93"/>
      <c r="E22" s="93"/>
      <c r="F22" s="93"/>
      <c r="G22" s="93"/>
      <c r="H22" s="93"/>
      <c r="I22" s="93"/>
      <c r="J22" s="93"/>
      <c r="K22" s="94"/>
      <c r="L22" s="64"/>
      <c r="M22" s="57" t="s">
        <v>46</v>
      </c>
      <c r="N22" s="58"/>
      <c r="O22" s="58"/>
      <c r="P22" s="62"/>
    </row>
    <row r="23" spans="2:18" ht="33" customHeight="1">
      <c r="B23" s="63">
        <v>12</v>
      </c>
      <c r="C23" s="117" t="s">
        <v>785</v>
      </c>
      <c r="D23" s="93"/>
      <c r="E23" s="93"/>
      <c r="F23" s="93"/>
      <c r="G23" s="93"/>
      <c r="H23" s="93"/>
      <c r="I23" s="93"/>
      <c r="J23" s="93"/>
      <c r="K23" s="94"/>
      <c r="L23" s="64"/>
      <c r="M23" s="57" t="s">
        <v>46</v>
      </c>
      <c r="N23" s="58"/>
      <c r="O23" s="58"/>
      <c r="P23" s="62"/>
      <c r="R23" t="s">
        <v>384</v>
      </c>
    </row>
    <row r="24" spans="2:18" ht="33" customHeight="1">
      <c r="B24" s="41">
        <v>13</v>
      </c>
      <c r="C24" s="117" t="s">
        <v>755</v>
      </c>
      <c r="D24" s="93"/>
      <c r="E24" s="93"/>
      <c r="F24" s="93"/>
      <c r="G24" s="93"/>
      <c r="H24" s="93"/>
      <c r="I24" s="93"/>
      <c r="J24" s="93"/>
      <c r="K24" s="94"/>
      <c r="L24" s="64"/>
      <c r="M24" s="57" t="s">
        <v>46</v>
      </c>
      <c r="N24" s="58"/>
      <c r="O24" s="58"/>
      <c r="P24" s="62"/>
    </row>
    <row r="25" spans="2:18" ht="33" customHeight="1">
      <c r="B25" s="63">
        <v>14</v>
      </c>
      <c r="C25" s="117" t="s">
        <v>756</v>
      </c>
      <c r="D25" s="93"/>
      <c r="E25" s="93"/>
      <c r="F25" s="93"/>
      <c r="G25" s="93"/>
      <c r="H25" s="93"/>
      <c r="I25" s="93"/>
      <c r="J25" s="93"/>
      <c r="K25" s="94"/>
      <c r="L25" s="64"/>
      <c r="M25" s="57" t="s">
        <v>46</v>
      </c>
      <c r="N25" s="58"/>
      <c r="O25" s="58"/>
      <c r="P25" s="62"/>
    </row>
    <row r="26" spans="2:18" ht="33" customHeight="1">
      <c r="B26" s="63">
        <v>15</v>
      </c>
      <c r="C26" s="117" t="s">
        <v>757</v>
      </c>
      <c r="D26" s="93"/>
      <c r="E26" s="93"/>
      <c r="F26" s="93"/>
      <c r="G26" s="93"/>
      <c r="H26" s="93"/>
      <c r="I26" s="93"/>
      <c r="J26" s="93"/>
      <c r="K26" s="94"/>
      <c r="L26" s="64"/>
      <c r="M26" s="57" t="s">
        <v>46</v>
      </c>
      <c r="N26" s="58"/>
      <c r="O26" s="58"/>
      <c r="P26" s="62"/>
    </row>
    <row r="27" spans="2:18" ht="33" customHeight="1">
      <c r="B27" s="41">
        <v>16</v>
      </c>
      <c r="C27" s="117" t="s">
        <v>758</v>
      </c>
      <c r="D27" s="93"/>
      <c r="E27" s="93"/>
      <c r="F27" s="93"/>
      <c r="G27" s="93"/>
      <c r="H27" s="93"/>
      <c r="I27" s="93"/>
      <c r="J27" s="93"/>
      <c r="K27" s="94"/>
      <c r="L27" s="64"/>
      <c r="M27" s="57" t="s">
        <v>46</v>
      </c>
      <c r="N27" s="58"/>
      <c r="O27" s="58"/>
      <c r="P27" s="62"/>
    </row>
    <row r="28" spans="2:18" ht="33" customHeight="1">
      <c r="B28" s="63"/>
      <c r="C28" s="117" t="s">
        <v>759</v>
      </c>
      <c r="D28" s="93"/>
      <c r="E28" s="93"/>
      <c r="F28" s="93"/>
      <c r="G28" s="93"/>
      <c r="H28" s="93"/>
      <c r="I28" s="93"/>
      <c r="J28" s="93"/>
      <c r="K28" s="94"/>
      <c r="L28" s="64"/>
      <c r="M28" s="57" t="s">
        <v>46</v>
      </c>
      <c r="N28" s="58"/>
      <c r="O28" s="58"/>
      <c r="P28" s="62"/>
    </row>
    <row r="29" spans="2:18" ht="33" customHeight="1">
      <c r="B29" s="63"/>
      <c r="C29" s="117" t="s">
        <v>760</v>
      </c>
      <c r="D29" s="93"/>
      <c r="E29" s="93"/>
      <c r="F29" s="93"/>
      <c r="G29" s="93"/>
      <c r="H29" s="93"/>
      <c r="I29" s="93"/>
      <c r="J29" s="93"/>
      <c r="K29" s="94"/>
      <c r="L29" s="64"/>
      <c r="M29" s="57" t="s">
        <v>46</v>
      </c>
      <c r="N29" s="58"/>
      <c r="O29" s="58"/>
      <c r="P29" s="62"/>
    </row>
    <row r="30" spans="2:18" ht="33" customHeight="1">
      <c r="B30" s="63"/>
      <c r="C30" s="117"/>
      <c r="D30" s="93"/>
      <c r="E30" s="93"/>
      <c r="F30" s="93"/>
      <c r="G30" s="93"/>
      <c r="H30" s="93"/>
      <c r="I30" s="93"/>
      <c r="J30" s="93"/>
      <c r="K30" s="94"/>
      <c r="L30" s="64"/>
      <c r="M30" s="57"/>
      <c r="N30" s="58"/>
      <c r="O30" s="58"/>
      <c r="P30" s="62"/>
    </row>
    <row r="31" spans="2:18" ht="33" customHeight="1">
      <c r="B31" s="63">
        <v>18</v>
      </c>
      <c r="C31" s="117" t="s">
        <v>392</v>
      </c>
      <c r="D31" s="93"/>
      <c r="E31" s="93"/>
      <c r="F31" s="93"/>
      <c r="G31" s="93"/>
      <c r="H31" s="93"/>
      <c r="I31" s="93"/>
      <c r="J31" s="93"/>
      <c r="K31" s="94"/>
      <c r="L31" s="64"/>
      <c r="M31" s="57" t="s">
        <v>46</v>
      </c>
      <c r="N31" s="58"/>
      <c r="O31" s="58"/>
      <c r="P31" s="62"/>
    </row>
    <row r="32" spans="2:18" ht="32.25" customHeight="1">
      <c r="B32" s="41">
        <v>19</v>
      </c>
      <c r="C32" s="117" t="s">
        <v>393</v>
      </c>
      <c r="D32" s="93"/>
      <c r="E32" s="93"/>
      <c r="F32" s="93"/>
      <c r="G32" s="93"/>
      <c r="H32" s="93"/>
      <c r="I32" s="93"/>
      <c r="J32" s="93"/>
      <c r="K32" s="94"/>
      <c r="L32" s="44"/>
      <c r="M32" s="57" t="s">
        <v>46</v>
      </c>
      <c r="N32" s="58"/>
      <c r="O32" s="58"/>
      <c r="P32" s="59"/>
    </row>
    <row r="33" spans="2:18" ht="33.75" customHeight="1">
      <c r="B33" s="63">
        <v>20</v>
      </c>
      <c r="C33" s="117" t="s">
        <v>394</v>
      </c>
      <c r="D33" s="93"/>
      <c r="E33" s="93"/>
      <c r="F33" s="93"/>
      <c r="G33" s="93"/>
      <c r="H33" s="93"/>
      <c r="I33" s="93"/>
      <c r="J33" s="93"/>
      <c r="K33" s="94"/>
      <c r="M33" s="57" t="s">
        <v>46</v>
      </c>
      <c r="N33" s="58"/>
      <c r="O33" s="58"/>
      <c r="P33" s="59"/>
    </row>
    <row r="34" spans="2:18" ht="17.25" customHeight="1">
      <c r="B34" s="63">
        <v>21</v>
      </c>
      <c r="C34" s="117" t="s">
        <v>395</v>
      </c>
      <c r="D34" s="93"/>
      <c r="E34" s="93"/>
      <c r="F34" s="93"/>
      <c r="G34" s="93"/>
      <c r="H34" s="93"/>
      <c r="I34" s="93"/>
      <c r="J34" s="93"/>
      <c r="K34" s="94"/>
      <c r="M34" s="57" t="s">
        <v>46</v>
      </c>
      <c r="N34" s="58"/>
      <c r="O34" s="58"/>
      <c r="P34" s="59"/>
    </row>
    <row r="35" spans="2:18" ht="34.5" customHeight="1">
      <c r="B35" s="41">
        <v>22</v>
      </c>
      <c r="C35" s="117" t="s">
        <v>396</v>
      </c>
      <c r="D35" s="93"/>
      <c r="E35" s="93"/>
      <c r="F35" s="93"/>
      <c r="G35" s="93"/>
      <c r="H35" s="93"/>
      <c r="I35" s="93"/>
      <c r="J35" s="93"/>
      <c r="K35" s="94"/>
      <c r="M35" s="57" t="s">
        <v>46</v>
      </c>
      <c r="N35" s="58"/>
      <c r="O35" s="58"/>
      <c r="P35" s="59"/>
    </row>
    <row r="36" spans="2:18" ht="14.25" customHeight="1">
      <c r="B36" s="63">
        <v>23</v>
      </c>
      <c r="C36" s="117" t="s">
        <v>397</v>
      </c>
      <c r="D36" s="93"/>
      <c r="E36" s="93"/>
      <c r="F36" s="93"/>
      <c r="G36" s="93"/>
      <c r="H36" s="93"/>
      <c r="I36" s="93"/>
      <c r="J36" s="93"/>
      <c r="K36" s="94"/>
      <c r="M36" s="57" t="s">
        <v>46</v>
      </c>
      <c r="N36" s="58"/>
      <c r="O36" s="58"/>
      <c r="P36" s="59"/>
    </row>
    <row r="37" spans="2:18" ht="14.25" customHeight="1">
      <c r="B37" s="63">
        <v>24</v>
      </c>
      <c r="C37" s="117" t="s">
        <v>398</v>
      </c>
      <c r="D37" s="93"/>
      <c r="E37" s="93"/>
      <c r="F37" s="93"/>
      <c r="G37" s="93"/>
      <c r="H37" s="93"/>
      <c r="I37" s="93"/>
      <c r="J37" s="93"/>
      <c r="K37" s="94"/>
      <c r="M37" s="57" t="s">
        <v>46</v>
      </c>
      <c r="N37" s="58"/>
      <c r="O37" s="58"/>
      <c r="P37" s="59"/>
    </row>
    <row r="38" spans="2:18" ht="14.25" customHeight="1">
      <c r="B38" s="41">
        <v>25</v>
      </c>
      <c r="C38" s="117" t="s">
        <v>399</v>
      </c>
      <c r="D38" s="93"/>
      <c r="E38" s="93"/>
      <c r="F38" s="93"/>
      <c r="G38" s="93"/>
      <c r="H38" s="93"/>
      <c r="I38" s="93"/>
      <c r="J38" s="93"/>
      <c r="K38" s="94"/>
      <c r="M38" s="57" t="s">
        <v>46</v>
      </c>
      <c r="N38" s="58"/>
      <c r="O38" s="58"/>
      <c r="P38" s="59"/>
    </row>
    <row r="39" spans="2:18" ht="14.25" customHeight="1">
      <c r="B39" s="63">
        <v>26</v>
      </c>
      <c r="C39" s="117" t="s">
        <v>400</v>
      </c>
      <c r="D39" s="93"/>
      <c r="E39" s="93"/>
      <c r="F39" s="93"/>
      <c r="G39" s="93"/>
      <c r="H39" s="93"/>
      <c r="I39" s="93"/>
      <c r="J39" s="93"/>
      <c r="K39" s="94"/>
      <c r="M39" s="57" t="s">
        <v>46</v>
      </c>
      <c r="N39" s="58"/>
      <c r="O39" s="58"/>
      <c r="P39" s="59"/>
    </row>
    <row r="40" spans="2:18" ht="29.25" customHeight="1">
      <c r="B40" s="63">
        <v>27</v>
      </c>
      <c r="C40" s="117" t="s">
        <v>401</v>
      </c>
      <c r="D40" s="93"/>
      <c r="E40" s="93"/>
      <c r="F40" s="93"/>
      <c r="G40" s="93"/>
      <c r="H40" s="93"/>
      <c r="I40" s="93"/>
      <c r="J40" s="93"/>
      <c r="K40" s="94"/>
      <c r="M40" s="57" t="s">
        <v>46</v>
      </c>
      <c r="N40" s="58"/>
      <c r="O40" s="58"/>
      <c r="P40" s="59"/>
    </row>
    <row r="41" spans="2:18" ht="14.25" customHeight="1">
      <c r="B41" s="41">
        <v>28</v>
      </c>
      <c r="C41" s="117" t="s">
        <v>402</v>
      </c>
      <c r="D41" s="93"/>
      <c r="E41" s="93"/>
      <c r="F41" s="93"/>
      <c r="G41" s="93"/>
      <c r="H41" s="93"/>
      <c r="I41" s="93"/>
      <c r="J41" s="93"/>
      <c r="K41" s="94"/>
      <c r="M41" s="57" t="s">
        <v>46</v>
      </c>
      <c r="N41" s="58"/>
      <c r="O41" s="58"/>
      <c r="P41" s="59"/>
    </row>
    <row r="42" spans="2:18" ht="14.25" customHeight="1">
      <c r="B42" s="63">
        <v>29</v>
      </c>
      <c r="C42" s="117" t="s">
        <v>403</v>
      </c>
      <c r="D42" s="93"/>
      <c r="E42" s="93"/>
      <c r="F42" s="93"/>
      <c r="G42" s="93"/>
      <c r="H42" s="93"/>
      <c r="I42" s="93"/>
      <c r="J42" s="93"/>
      <c r="K42" s="94"/>
      <c r="M42" s="57"/>
      <c r="N42" s="58" t="s">
        <v>46</v>
      </c>
      <c r="O42" s="58"/>
      <c r="P42" s="59"/>
      <c r="R42" s="47" t="s">
        <v>404</v>
      </c>
    </row>
    <row r="43" spans="2:18" ht="14.25" customHeight="1">
      <c r="B43" s="63">
        <v>30</v>
      </c>
      <c r="C43" s="117" t="s">
        <v>405</v>
      </c>
      <c r="D43" s="93"/>
      <c r="E43" s="93"/>
      <c r="F43" s="93"/>
      <c r="G43" s="93"/>
      <c r="H43" s="93"/>
      <c r="I43" s="93"/>
      <c r="J43" s="93"/>
      <c r="K43" s="94"/>
      <c r="M43" s="57" t="s">
        <v>46</v>
      </c>
      <c r="N43" s="58"/>
      <c r="O43" s="58"/>
      <c r="P43" s="59"/>
    </row>
    <row r="44" spans="2:18" ht="14.25" customHeight="1">
      <c r="B44" s="41">
        <v>31</v>
      </c>
      <c r="C44" s="117" t="s">
        <v>406</v>
      </c>
      <c r="D44" s="93"/>
      <c r="E44" s="93"/>
      <c r="F44" s="93"/>
      <c r="G44" s="93"/>
      <c r="H44" s="93"/>
      <c r="I44" s="93"/>
      <c r="J44" s="93"/>
      <c r="K44" s="94"/>
      <c r="M44" s="57" t="s">
        <v>46</v>
      </c>
      <c r="N44" s="58"/>
      <c r="O44" s="58"/>
      <c r="P44" s="59"/>
    </row>
    <row r="45" spans="2:18" ht="14.25" customHeight="1">
      <c r="B45" s="63">
        <v>32</v>
      </c>
      <c r="C45" s="117" t="s">
        <v>407</v>
      </c>
      <c r="D45" s="93"/>
      <c r="E45" s="93"/>
      <c r="F45" s="93"/>
      <c r="G45" s="93"/>
      <c r="H45" s="93"/>
      <c r="I45" s="93"/>
      <c r="J45" s="93"/>
      <c r="K45" s="94"/>
      <c r="M45" s="57" t="s">
        <v>46</v>
      </c>
      <c r="N45" s="58"/>
      <c r="O45" s="58"/>
      <c r="P45" s="59"/>
    </row>
    <row r="46" spans="2:18" ht="14.25" customHeight="1">
      <c r="B46" s="63">
        <v>33</v>
      </c>
      <c r="C46" s="117"/>
      <c r="D46" s="93"/>
      <c r="E46" s="93"/>
      <c r="F46" s="93"/>
      <c r="G46" s="93"/>
      <c r="H46" s="93"/>
      <c r="I46" s="93"/>
      <c r="J46" s="93"/>
      <c r="K46" s="94"/>
      <c r="M46" s="57"/>
      <c r="N46" s="58"/>
      <c r="O46" s="58"/>
      <c r="P46" s="59"/>
    </row>
    <row r="47" spans="2:18" ht="28.5" customHeight="1">
      <c r="B47" s="41">
        <v>34</v>
      </c>
      <c r="C47" s="134" t="s">
        <v>694</v>
      </c>
      <c r="D47" s="93"/>
      <c r="E47" s="93"/>
      <c r="F47" s="93"/>
      <c r="G47" s="93"/>
      <c r="H47" s="93"/>
      <c r="I47" s="93"/>
      <c r="J47" s="93"/>
      <c r="K47" s="94"/>
      <c r="M47" s="68" t="s">
        <v>46</v>
      </c>
      <c r="N47" s="58"/>
      <c r="O47" s="58"/>
      <c r="P47" s="59"/>
    </row>
    <row r="48" spans="2:18" ht="30.75" customHeight="1">
      <c r="B48" s="63">
        <v>35</v>
      </c>
      <c r="C48" s="134" t="s">
        <v>693</v>
      </c>
      <c r="D48" s="93"/>
      <c r="E48" s="93"/>
      <c r="F48" s="93"/>
      <c r="G48" s="93"/>
      <c r="H48" s="93"/>
      <c r="I48" s="93"/>
      <c r="J48" s="93"/>
      <c r="K48" s="94"/>
      <c r="M48" s="68" t="s">
        <v>46</v>
      </c>
      <c r="N48" s="58"/>
      <c r="O48" s="58"/>
      <c r="P48" s="59"/>
    </row>
    <row r="49" spans="2:16" ht="14.25" customHeight="1">
      <c r="B49" s="63">
        <v>36</v>
      </c>
      <c r="C49" s="117"/>
      <c r="D49" s="93"/>
      <c r="E49" s="93"/>
      <c r="F49" s="93"/>
      <c r="G49" s="93"/>
      <c r="H49" s="93"/>
      <c r="I49" s="93"/>
      <c r="J49" s="93"/>
      <c r="K49" s="94"/>
      <c r="M49" s="57"/>
      <c r="N49" s="58"/>
      <c r="O49" s="58"/>
      <c r="P49" s="59"/>
    </row>
    <row r="50" spans="2:16" ht="14.25" customHeight="1">
      <c r="B50" s="41">
        <v>37</v>
      </c>
      <c r="C50" s="117"/>
      <c r="D50" s="93"/>
      <c r="E50" s="93"/>
      <c r="F50" s="93"/>
      <c r="G50" s="93"/>
      <c r="H50" s="93"/>
      <c r="I50" s="93"/>
      <c r="J50" s="93"/>
      <c r="K50" s="94"/>
      <c r="L50" s="42"/>
      <c r="M50" s="57"/>
      <c r="N50" s="58"/>
      <c r="O50" s="58"/>
      <c r="P50" s="59"/>
    </row>
    <row r="51" spans="2:16" ht="14.25" customHeight="1">
      <c r="B51" s="63">
        <v>38</v>
      </c>
      <c r="C51" s="117"/>
      <c r="D51" s="93"/>
      <c r="E51" s="93"/>
      <c r="F51" s="93"/>
      <c r="G51" s="93"/>
      <c r="H51" s="93"/>
      <c r="I51" s="93"/>
      <c r="J51" s="93"/>
      <c r="K51" s="94"/>
      <c r="L51" s="44"/>
      <c r="M51" s="57"/>
      <c r="N51" s="58"/>
      <c r="O51" s="58"/>
      <c r="P51" s="59"/>
    </row>
    <row r="52" spans="2:16" ht="14.25" customHeight="1"/>
    <row r="53" spans="2:16" ht="14.25" customHeight="1"/>
    <row r="54" spans="2:16" ht="14.25" customHeight="1">
      <c r="B54" s="35"/>
      <c r="C54" s="125" t="s">
        <v>408</v>
      </c>
      <c r="D54" s="99"/>
      <c r="E54" s="99"/>
      <c r="F54" s="99"/>
      <c r="G54" s="99"/>
      <c r="H54" s="99"/>
      <c r="I54" s="99"/>
      <c r="J54" s="100"/>
      <c r="K54" s="36"/>
    </row>
    <row r="55" spans="2:16" ht="14.25" customHeight="1"/>
    <row r="56" spans="2:16" ht="14.25" customHeight="1">
      <c r="B56" s="40"/>
      <c r="C56" s="120"/>
      <c r="D56" s="109"/>
      <c r="E56" s="110"/>
      <c r="F56" s="36"/>
      <c r="G56" s="36"/>
      <c r="H56" s="36"/>
      <c r="I56" s="36"/>
      <c r="J56" s="36"/>
      <c r="K56" s="36"/>
    </row>
    <row r="57" spans="2:16" ht="32.25" customHeight="1">
      <c r="B57" s="35">
        <v>2</v>
      </c>
      <c r="C57" s="117" t="s">
        <v>409</v>
      </c>
      <c r="D57" s="93"/>
      <c r="E57" s="93"/>
      <c r="F57" s="93"/>
      <c r="G57" s="93"/>
      <c r="H57" s="93"/>
      <c r="I57" s="93"/>
      <c r="J57" s="93"/>
      <c r="K57" s="94"/>
      <c r="L57" s="44"/>
      <c r="M57" s="57" t="s">
        <v>46</v>
      </c>
      <c r="N57" s="58"/>
      <c r="O57" s="58"/>
      <c r="P57" s="59"/>
    </row>
    <row r="58" spans="2:16" ht="32.25" customHeight="1">
      <c r="B58" s="41">
        <v>3</v>
      </c>
      <c r="C58" s="117" t="s">
        <v>410</v>
      </c>
      <c r="D58" s="93"/>
      <c r="E58" s="93"/>
      <c r="F58" s="93"/>
      <c r="G58" s="93"/>
      <c r="H58" s="93"/>
      <c r="I58" s="93"/>
      <c r="J58" s="93"/>
      <c r="K58" s="94"/>
      <c r="M58" s="57" t="s">
        <v>46</v>
      </c>
      <c r="N58" s="58"/>
      <c r="O58" s="58"/>
      <c r="P58" s="59"/>
    </row>
    <row r="59" spans="2:16" ht="32.25" customHeight="1">
      <c r="B59" s="41">
        <v>5</v>
      </c>
      <c r="C59" s="117" t="s">
        <v>411</v>
      </c>
      <c r="D59" s="93"/>
      <c r="E59" s="93"/>
      <c r="F59" s="93"/>
      <c r="G59" s="93"/>
      <c r="H59" s="93"/>
      <c r="I59" s="93"/>
      <c r="J59" s="93"/>
      <c r="K59" s="94"/>
      <c r="L59" s="42"/>
      <c r="M59" s="57" t="s">
        <v>46</v>
      </c>
      <c r="N59" s="58"/>
      <c r="O59" s="58"/>
      <c r="P59" s="59"/>
    </row>
    <row r="60" spans="2:16" ht="32.25" customHeight="1">
      <c r="B60" s="41">
        <v>6</v>
      </c>
      <c r="C60" s="117"/>
      <c r="D60" s="93"/>
      <c r="E60" s="93"/>
      <c r="F60" s="93"/>
      <c r="G60" s="93"/>
      <c r="H60" s="93"/>
      <c r="I60" s="93"/>
      <c r="J60" s="93"/>
      <c r="K60" s="94"/>
      <c r="L60" s="46"/>
      <c r="M60" s="57"/>
      <c r="N60" s="58"/>
      <c r="O60" s="58"/>
      <c r="P60" s="59"/>
    </row>
    <row r="61" spans="2:16" ht="32.25" customHeight="1">
      <c r="B61" s="35">
        <v>7</v>
      </c>
      <c r="C61" s="117"/>
      <c r="D61" s="93"/>
      <c r="E61" s="93"/>
      <c r="F61" s="93"/>
      <c r="G61" s="93"/>
      <c r="H61" s="93"/>
      <c r="I61" s="93"/>
      <c r="J61" s="93"/>
      <c r="K61" s="94"/>
      <c r="L61" s="46"/>
      <c r="M61" s="57"/>
      <c r="N61" s="58"/>
      <c r="O61" s="58"/>
      <c r="P61" s="59"/>
    </row>
    <row r="62" spans="2:16" ht="32.25" customHeight="1">
      <c r="B62" s="41">
        <v>8</v>
      </c>
      <c r="C62" s="117"/>
      <c r="D62" s="93"/>
      <c r="E62" s="93"/>
      <c r="F62" s="93"/>
      <c r="G62" s="93"/>
      <c r="H62" s="93"/>
      <c r="I62" s="93"/>
      <c r="J62" s="93"/>
      <c r="K62" s="94"/>
      <c r="L62" s="46"/>
      <c r="M62" s="57"/>
      <c r="N62" s="58"/>
      <c r="O62" s="58"/>
      <c r="P62" s="59"/>
    </row>
    <row r="63" spans="2:16" ht="32.25" customHeight="1">
      <c r="B63" s="41">
        <v>9</v>
      </c>
      <c r="C63" s="117"/>
      <c r="D63" s="93"/>
      <c r="E63" s="93"/>
      <c r="F63" s="93"/>
      <c r="G63" s="93"/>
      <c r="H63" s="93"/>
      <c r="I63" s="93"/>
      <c r="J63" s="93"/>
      <c r="K63" s="94"/>
      <c r="L63" s="46"/>
      <c r="M63" s="57"/>
      <c r="N63" s="58"/>
      <c r="O63" s="58"/>
      <c r="P63" s="59"/>
    </row>
    <row r="64" spans="2:16" ht="32.25" customHeight="1">
      <c r="B64" s="41">
        <v>10</v>
      </c>
      <c r="C64" s="117"/>
      <c r="D64" s="93"/>
      <c r="E64" s="93"/>
      <c r="F64" s="93"/>
      <c r="G64" s="93"/>
      <c r="H64" s="93"/>
      <c r="I64" s="93"/>
      <c r="J64" s="93"/>
      <c r="K64" s="94"/>
      <c r="L64" s="46"/>
      <c r="M64" s="57"/>
      <c r="N64" s="58"/>
      <c r="O64" s="58"/>
      <c r="P64" s="59"/>
    </row>
    <row r="65" spans="2:16" ht="32.25" customHeight="1">
      <c r="B65" s="41">
        <v>11</v>
      </c>
      <c r="C65" s="117"/>
      <c r="D65" s="93"/>
      <c r="E65" s="93"/>
      <c r="F65" s="93"/>
      <c r="G65" s="93"/>
      <c r="H65" s="93"/>
      <c r="I65" s="93"/>
      <c r="J65" s="93"/>
      <c r="K65" s="94"/>
      <c r="L65" s="46"/>
      <c r="M65" s="57"/>
      <c r="N65" s="58"/>
      <c r="O65" s="58"/>
      <c r="P65" s="59"/>
    </row>
    <row r="66" spans="2:16" ht="32.25" customHeight="1">
      <c r="B66" s="35">
        <v>12</v>
      </c>
      <c r="C66" s="117"/>
      <c r="D66" s="93"/>
      <c r="E66" s="93"/>
      <c r="F66" s="93"/>
      <c r="G66" s="93"/>
      <c r="H66" s="93"/>
      <c r="I66" s="93"/>
      <c r="J66" s="93"/>
      <c r="K66" s="94"/>
      <c r="L66" s="46"/>
      <c r="M66" s="57"/>
      <c r="N66" s="58"/>
      <c r="O66" s="58"/>
      <c r="P66" s="59"/>
    </row>
    <row r="67" spans="2:16" ht="32.25" customHeight="1">
      <c r="B67" s="41">
        <v>13</v>
      </c>
      <c r="C67" s="117"/>
      <c r="D67" s="93"/>
      <c r="E67" s="93"/>
      <c r="F67" s="93"/>
      <c r="G67" s="93"/>
      <c r="H67" s="93"/>
      <c r="I67" s="93"/>
      <c r="J67" s="93"/>
      <c r="K67" s="94"/>
      <c r="L67" s="44"/>
      <c r="M67" s="57"/>
      <c r="N67" s="58"/>
      <c r="O67" s="58"/>
      <c r="P67" s="59"/>
    </row>
    <row r="68" spans="2:16" ht="14.25" customHeight="1">
      <c r="B68" s="29"/>
    </row>
    <row r="69" spans="2:16" ht="14.25" customHeight="1">
      <c r="B69" s="29"/>
    </row>
    <row r="70" spans="2:16" ht="14.25" customHeight="1">
      <c r="B70" s="29"/>
    </row>
    <row r="71" spans="2:16" ht="14.25" customHeight="1">
      <c r="B71" s="29"/>
    </row>
    <row r="72" spans="2:16" ht="14.25" customHeight="1">
      <c r="B72" s="29"/>
    </row>
    <row r="73" spans="2:16" ht="14.25" customHeight="1">
      <c r="B73" s="29"/>
    </row>
    <row r="74" spans="2:16" ht="14.25" customHeight="1">
      <c r="B74" s="29"/>
    </row>
    <row r="75" spans="2:16" ht="14.25" customHeight="1">
      <c r="B75" s="29"/>
    </row>
    <row r="76" spans="2:16" ht="14.25" customHeight="1">
      <c r="B76" s="29"/>
    </row>
    <row r="77" spans="2:16" ht="14.25" customHeight="1">
      <c r="B77" s="29"/>
    </row>
    <row r="78" spans="2:16" ht="14.25" customHeight="1">
      <c r="B78" s="29"/>
    </row>
    <row r="79" spans="2:16" ht="14.25" customHeight="1">
      <c r="B79" s="29"/>
    </row>
    <row r="80" spans="2:16"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row r="1001" spans="2:2" ht="14.25" customHeight="1">
      <c r="B1001" s="29"/>
    </row>
    <row r="1002" spans="2:2" ht="14.25" customHeight="1">
      <c r="B1002" s="29"/>
    </row>
    <row r="1003" spans="2:2" ht="14.25" customHeight="1">
      <c r="B1003" s="29"/>
    </row>
    <row r="1004" spans="2:2" ht="14.25" customHeight="1">
      <c r="B1004" s="29"/>
    </row>
    <row r="1005" spans="2:2" ht="14.25" customHeight="1">
      <c r="B1005" s="29"/>
    </row>
    <row r="1006" spans="2:2" ht="14.25" customHeight="1">
      <c r="B1006" s="29"/>
    </row>
    <row r="1007" spans="2:2" ht="14.25" customHeight="1">
      <c r="B1007" s="29"/>
    </row>
    <row r="1008" spans="2:2" ht="14.25" customHeight="1">
      <c r="B1008" s="29"/>
    </row>
    <row r="1009" spans="2:2" ht="14.25" customHeight="1">
      <c r="B1009" s="29"/>
    </row>
    <row r="1010" spans="2:2" ht="14.25" customHeight="1">
      <c r="B1010" s="29"/>
    </row>
    <row r="1011" spans="2:2" ht="14.25" customHeight="1">
      <c r="B1011" s="29"/>
    </row>
    <row r="1012" spans="2:2" ht="14.25" customHeight="1">
      <c r="B1012" s="29"/>
    </row>
    <row r="1013" spans="2:2" ht="14.25" customHeight="1">
      <c r="B1013" s="29"/>
    </row>
    <row r="1014" spans="2:2" ht="14.25" customHeight="1">
      <c r="B1014" s="29"/>
    </row>
    <row r="1015" spans="2:2" ht="14.25" customHeight="1">
      <c r="B1015" s="29"/>
    </row>
    <row r="1016" spans="2:2" ht="14.25" customHeight="1">
      <c r="B1016" s="29"/>
    </row>
    <row r="1017" spans="2:2" ht="14.25" customHeight="1">
      <c r="B1017" s="29"/>
    </row>
    <row r="1018" spans="2:2" ht="14.25" customHeight="1">
      <c r="B1018" s="29"/>
    </row>
    <row r="1019" spans="2:2" ht="14.25" customHeight="1">
      <c r="B1019" s="29"/>
    </row>
  </sheetData>
  <mergeCells count="61">
    <mergeCell ref="C2:G2"/>
    <mergeCell ref="C3:G3"/>
    <mergeCell ref="C4:G4"/>
    <mergeCell ref="B5:C5"/>
    <mergeCell ref="M8:O8"/>
    <mergeCell ref="P8:P9"/>
    <mergeCell ref="C9:J9"/>
    <mergeCell ref="C11:E11"/>
    <mergeCell ref="C12:K12"/>
    <mergeCell ref="C32:K32"/>
    <mergeCell ref="C13:K13"/>
    <mergeCell ref="C14:K14"/>
    <mergeCell ref="C15:K15"/>
    <mergeCell ref="C16:K16"/>
    <mergeCell ref="C17:K17"/>
    <mergeCell ref="C18:K18"/>
    <mergeCell ref="C19:K19"/>
    <mergeCell ref="C20:K20"/>
    <mergeCell ref="C21:K21"/>
    <mergeCell ref="C22:K22"/>
    <mergeCell ref="C23:K23"/>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61:K61"/>
    <mergeCell ref="C62:K62"/>
    <mergeCell ref="C51:K51"/>
    <mergeCell ref="C54:J54"/>
    <mergeCell ref="C56:E56"/>
    <mergeCell ref="C57:K57"/>
    <mergeCell ref="C58:K58"/>
    <mergeCell ref="C59:K59"/>
    <mergeCell ref="C60:K60"/>
    <mergeCell ref="C63:K63"/>
    <mergeCell ref="C64:K64"/>
    <mergeCell ref="C65:K65"/>
    <mergeCell ref="C66:K66"/>
    <mergeCell ref="C67:K67"/>
    <mergeCell ref="C31:K31"/>
    <mergeCell ref="C28:K28"/>
    <mergeCell ref="C29:K29"/>
    <mergeCell ref="C30:K30"/>
    <mergeCell ref="C24:K24"/>
    <mergeCell ref="C25:K25"/>
    <mergeCell ref="C26:K26"/>
    <mergeCell ref="C27:K27"/>
  </mergeCells>
  <hyperlinks>
    <hyperlink ref="T2" location="'REQ. NO FUN. GEN'!A1" display="Volver" xr:uid="{00000000-0004-0000-11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V1037"/>
  <sheetViews>
    <sheetView topLeftCell="A46" workbookViewId="0">
      <selection activeCell="R66" sqref="R66"/>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25" t="s">
        <v>412</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34" t="s">
        <v>703</v>
      </c>
      <c r="D12" s="93"/>
      <c r="E12" s="93"/>
      <c r="F12" s="93"/>
      <c r="G12" s="93"/>
      <c r="H12" s="93"/>
      <c r="I12" s="93"/>
      <c r="J12" s="93"/>
      <c r="K12" s="94"/>
      <c r="L12" s="42"/>
      <c r="M12" s="68" t="s">
        <v>46</v>
      </c>
      <c r="N12" s="58"/>
      <c r="O12" s="58"/>
      <c r="P12" s="59"/>
    </row>
    <row r="13" spans="2:22" ht="14.25" customHeight="1">
      <c r="B13" s="63">
        <v>2</v>
      </c>
      <c r="C13" s="134" t="s">
        <v>704</v>
      </c>
      <c r="D13" s="93"/>
      <c r="E13" s="93"/>
      <c r="F13" s="93"/>
      <c r="G13" s="93"/>
      <c r="H13" s="93"/>
      <c r="I13" s="93"/>
      <c r="J13" s="93"/>
      <c r="K13" s="94"/>
      <c r="L13" s="64"/>
      <c r="M13" s="68" t="s">
        <v>46</v>
      </c>
      <c r="N13" s="58"/>
      <c r="O13" s="58"/>
      <c r="P13" s="62"/>
    </row>
    <row r="14" spans="2:22" ht="33" customHeight="1">
      <c r="B14" s="63">
        <v>3</v>
      </c>
      <c r="C14" s="134" t="s">
        <v>705</v>
      </c>
      <c r="D14" s="93"/>
      <c r="E14" s="93"/>
      <c r="F14" s="93"/>
      <c r="G14" s="93"/>
      <c r="H14" s="93"/>
      <c r="I14" s="93"/>
      <c r="J14" s="93"/>
      <c r="K14" s="94"/>
      <c r="L14" s="64"/>
      <c r="M14" s="68" t="s">
        <v>46</v>
      </c>
      <c r="N14" s="58"/>
      <c r="O14" s="58"/>
      <c r="P14" s="62"/>
    </row>
    <row r="15" spans="2:22" ht="33" customHeight="1">
      <c r="B15" s="41">
        <v>4</v>
      </c>
      <c r="C15" s="134" t="s">
        <v>706</v>
      </c>
      <c r="D15" s="93"/>
      <c r="E15" s="93"/>
      <c r="F15" s="93"/>
      <c r="G15" s="93"/>
      <c r="H15" s="93"/>
      <c r="I15" s="93"/>
      <c r="J15" s="93"/>
      <c r="K15" s="94"/>
      <c r="L15" s="64"/>
      <c r="M15" s="68" t="s">
        <v>46</v>
      </c>
      <c r="N15" s="58"/>
      <c r="O15" s="58"/>
      <c r="P15" s="62"/>
    </row>
    <row r="16" spans="2:22" ht="46.5" customHeight="1">
      <c r="B16" s="63">
        <v>5</v>
      </c>
      <c r="C16" s="134" t="s">
        <v>707</v>
      </c>
      <c r="D16" s="93"/>
      <c r="E16" s="93"/>
      <c r="F16" s="93"/>
      <c r="G16" s="93"/>
      <c r="H16" s="93"/>
      <c r="I16" s="93"/>
      <c r="J16" s="93"/>
      <c r="K16" s="94"/>
      <c r="L16" s="64"/>
      <c r="M16" s="68" t="s">
        <v>46</v>
      </c>
      <c r="N16" s="58"/>
      <c r="O16" s="58"/>
      <c r="P16" s="62"/>
    </row>
    <row r="17" spans="2:16" ht="35.25" customHeight="1">
      <c r="B17" s="63">
        <v>6</v>
      </c>
      <c r="C17" s="134" t="s">
        <v>708</v>
      </c>
      <c r="D17" s="93"/>
      <c r="E17" s="93"/>
      <c r="F17" s="93"/>
      <c r="G17" s="93"/>
      <c r="H17" s="93"/>
      <c r="I17" s="93"/>
      <c r="J17" s="93"/>
      <c r="K17" s="94"/>
      <c r="L17" s="64"/>
      <c r="M17" s="68" t="s">
        <v>46</v>
      </c>
      <c r="N17" s="58"/>
      <c r="O17" s="58"/>
      <c r="P17" s="62"/>
    </row>
    <row r="18" spans="2:16" ht="14.25" customHeight="1">
      <c r="B18" s="41">
        <v>7</v>
      </c>
      <c r="C18" s="134" t="s">
        <v>709</v>
      </c>
      <c r="D18" s="93"/>
      <c r="E18" s="93"/>
      <c r="F18" s="93"/>
      <c r="G18" s="93"/>
      <c r="H18" s="93"/>
      <c r="I18" s="93"/>
      <c r="J18" s="93"/>
      <c r="K18" s="94"/>
      <c r="L18" s="64"/>
      <c r="M18" s="68" t="s">
        <v>46</v>
      </c>
      <c r="N18" s="58"/>
      <c r="O18" s="58"/>
      <c r="P18" s="62"/>
    </row>
    <row r="19" spans="2:16" ht="48.75" customHeight="1">
      <c r="B19" s="63"/>
      <c r="C19" s="134" t="s">
        <v>710</v>
      </c>
      <c r="D19" s="93"/>
      <c r="E19" s="93"/>
      <c r="F19" s="93"/>
      <c r="G19" s="93"/>
      <c r="H19" s="93"/>
      <c r="I19" s="93"/>
      <c r="J19" s="93"/>
      <c r="K19" s="94"/>
      <c r="L19" s="64"/>
      <c r="M19" s="68" t="s">
        <v>46</v>
      </c>
      <c r="N19" s="58"/>
      <c r="O19" s="58"/>
      <c r="P19" s="62"/>
    </row>
    <row r="20" spans="2:16" ht="48.75" customHeight="1">
      <c r="B20" s="63"/>
      <c r="C20" s="134" t="s">
        <v>711</v>
      </c>
      <c r="D20" s="93"/>
      <c r="E20" s="93"/>
      <c r="F20" s="93"/>
      <c r="G20" s="93"/>
      <c r="H20" s="93"/>
      <c r="I20" s="93"/>
      <c r="J20" s="93"/>
      <c r="K20" s="94"/>
      <c r="L20" s="64"/>
      <c r="M20" s="68" t="s">
        <v>46</v>
      </c>
      <c r="N20" s="58"/>
      <c r="O20" s="58"/>
      <c r="P20" s="62"/>
    </row>
    <row r="21" spans="2:16" ht="57.75" customHeight="1">
      <c r="B21" s="63">
        <v>8</v>
      </c>
      <c r="C21" s="134" t="s">
        <v>712</v>
      </c>
      <c r="D21" s="93"/>
      <c r="E21" s="93"/>
      <c r="F21" s="93"/>
      <c r="G21" s="93"/>
      <c r="H21" s="93"/>
      <c r="I21" s="93"/>
      <c r="J21" s="93"/>
      <c r="K21" s="94"/>
      <c r="L21" s="64"/>
      <c r="M21" s="68" t="s">
        <v>46</v>
      </c>
      <c r="N21" s="58"/>
      <c r="O21" s="58"/>
      <c r="P21" s="62"/>
    </row>
    <row r="22" spans="2:16" ht="20.25" customHeight="1">
      <c r="B22" s="63">
        <v>9</v>
      </c>
      <c r="C22" s="134" t="s">
        <v>713</v>
      </c>
      <c r="D22" s="93"/>
      <c r="E22" s="93"/>
      <c r="F22" s="93"/>
      <c r="G22" s="93"/>
      <c r="H22" s="93"/>
      <c r="I22" s="93"/>
      <c r="J22" s="93"/>
      <c r="K22" s="94"/>
      <c r="L22" s="64"/>
      <c r="M22" s="68" t="s">
        <v>46</v>
      </c>
      <c r="N22" s="58"/>
      <c r="O22" s="58"/>
      <c r="P22" s="62"/>
    </row>
    <row r="23" spans="2:16" ht="33.75" customHeight="1">
      <c r="B23" s="41">
        <v>10</v>
      </c>
      <c r="C23" s="134" t="s">
        <v>715</v>
      </c>
      <c r="D23" s="93"/>
      <c r="E23" s="93"/>
      <c r="F23" s="93"/>
      <c r="G23" s="93"/>
      <c r="H23" s="93"/>
      <c r="I23" s="93"/>
      <c r="J23" s="93"/>
      <c r="K23" s="94"/>
      <c r="L23" s="64"/>
      <c r="M23" s="68" t="s">
        <v>46</v>
      </c>
      <c r="N23" s="58"/>
      <c r="O23" s="58"/>
      <c r="P23" s="62"/>
    </row>
    <row r="24" spans="2:16" ht="14.25" customHeight="1">
      <c r="B24" s="63">
        <v>11</v>
      </c>
      <c r="C24" s="134" t="s">
        <v>716</v>
      </c>
      <c r="D24" s="93"/>
      <c r="E24" s="93"/>
      <c r="F24" s="93"/>
      <c r="G24" s="93"/>
      <c r="H24" s="93"/>
      <c r="I24" s="93"/>
      <c r="J24" s="93"/>
      <c r="K24" s="94"/>
      <c r="L24" s="64"/>
      <c r="M24" s="68" t="s">
        <v>46</v>
      </c>
      <c r="N24" s="58"/>
      <c r="O24" s="58"/>
      <c r="P24" s="62"/>
    </row>
    <row r="25" spans="2:16" ht="14.25" customHeight="1">
      <c r="B25" s="63">
        <v>12</v>
      </c>
      <c r="C25" s="134" t="s">
        <v>717</v>
      </c>
      <c r="D25" s="93"/>
      <c r="E25" s="93"/>
      <c r="F25" s="93"/>
      <c r="G25" s="93"/>
      <c r="H25" s="93"/>
      <c r="I25" s="93"/>
      <c r="J25" s="93"/>
      <c r="K25" s="94"/>
      <c r="L25" s="64"/>
      <c r="M25" s="68" t="s">
        <v>46</v>
      </c>
      <c r="N25" s="58"/>
      <c r="O25" s="58"/>
      <c r="P25" s="62"/>
    </row>
    <row r="26" spans="2:16" ht="45.75" customHeight="1">
      <c r="B26" s="41">
        <v>13</v>
      </c>
      <c r="C26" s="134" t="s">
        <v>719</v>
      </c>
      <c r="D26" s="93"/>
      <c r="E26" s="93"/>
      <c r="F26" s="93"/>
      <c r="G26" s="93"/>
      <c r="H26" s="93"/>
      <c r="I26" s="93"/>
      <c r="J26" s="93"/>
      <c r="K26" s="94"/>
      <c r="L26" s="64"/>
      <c r="M26" s="68" t="s">
        <v>46</v>
      </c>
      <c r="N26" s="58"/>
      <c r="O26" s="58"/>
      <c r="P26" s="62"/>
    </row>
    <row r="27" spans="2:16" ht="27" customHeight="1">
      <c r="B27" s="63">
        <v>14</v>
      </c>
      <c r="C27" s="134" t="s">
        <v>721</v>
      </c>
      <c r="D27" s="93"/>
      <c r="E27" s="93"/>
      <c r="F27" s="93"/>
      <c r="G27" s="93"/>
      <c r="H27" s="93"/>
      <c r="I27" s="93"/>
      <c r="J27" s="93"/>
      <c r="K27" s="94"/>
      <c r="L27" s="64"/>
      <c r="M27" s="68" t="s">
        <v>46</v>
      </c>
      <c r="N27" s="58"/>
      <c r="O27" s="58"/>
      <c r="P27" s="62"/>
    </row>
    <row r="28" spans="2:16" ht="51.75" customHeight="1">
      <c r="B28" s="63">
        <v>15</v>
      </c>
      <c r="C28" s="134" t="s">
        <v>720</v>
      </c>
      <c r="D28" s="93"/>
      <c r="E28" s="93"/>
      <c r="F28" s="93"/>
      <c r="G28" s="93"/>
      <c r="H28" s="93"/>
      <c r="I28" s="93"/>
      <c r="J28" s="93"/>
      <c r="K28" s="94"/>
      <c r="L28" s="64"/>
      <c r="M28" s="68" t="s">
        <v>46</v>
      </c>
      <c r="N28" s="58"/>
      <c r="O28" s="58"/>
      <c r="P28" s="62"/>
    </row>
    <row r="29" spans="2:16" ht="62.25" customHeight="1">
      <c r="B29" s="41">
        <v>16</v>
      </c>
      <c r="C29" s="134" t="s">
        <v>722</v>
      </c>
      <c r="D29" s="93"/>
      <c r="E29" s="93"/>
      <c r="F29" s="93"/>
      <c r="G29" s="93"/>
      <c r="H29" s="93"/>
      <c r="I29" s="93"/>
      <c r="J29" s="93"/>
      <c r="K29" s="94"/>
      <c r="L29" s="64"/>
      <c r="M29" s="68" t="s">
        <v>46</v>
      </c>
      <c r="N29" s="58"/>
      <c r="O29" s="58"/>
      <c r="P29" s="62"/>
    </row>
    <row r="30" spans="2:16" ht="44.25" customHeight="1">
      <c r="B30" s="63">
        <v>17</v>
      </c>
      <c r="C30" s="134" t="s">
        <v>723</v>
      </c>
      <c r="D30" s="93"/>
      <c r="E30" s="93"/>
      <c r="F30" s="93"/>
      <c r="G30" s="93"/>
      <c r="H30" s="93"/>
      <c r="I30" s="93"/>
      <c r="J30" s="93"/>
      <c r="K30" s="94"/>
      <c r="L30" s="64"/>
      <c r="M30" s="68" t="s">
        <v>46</v>
      </c>
      <c r="N30" s="58"/>
      <c r="O30" s="58"/>
      <c r="P30" s="62"/>
    </row>
    <row r="31" spans="2:16" ht="43.5" customHeight="1">
      <c r="B31" s="63">
        <v>18</v>
      </c>
      <c r="C31" s="134" t="s">
        <v>724</v>
      </c>
      <c r="D31" s="93"/>
      <c r="E31" s="93"/>
      <c r="F31" s="93"/>
      <c r="G31" s="93"/>
      <c r="H31" s="93"/>
      <c r="I31" s="93"/>
      <c r="J31" s="93"/>
      <c r="K31" s="94"/>
      <c r="L31" s="64"/>
      <c r="M31" s="57" t="s">
        <v>46</v>
      </c>
      <c r="N31" s="58"/>
      <c r="O31" s="58"/>
      <c r="P31" s="62"/>
    </row>
    <row r="32" spans="2:16" ht="14.25" customHeight="1">
      <c r="B32" s="41">
        <v>19</v>
      </c>
      <c r="C32" s="134" t="s">
        <v>725</v>
      </c>
      <c r="D32" s="93"/>
      <c r="E32" s="93"/>
      <c r="F32" s="93"/>
      <c r="G32" s="93"/>
      <c r="H32" s="93"/>
      <c r="I32" s="93"/>
      <c r="J32" s="93"/>
      <c r="K32" s="94"/>
      <c r="L32" s="64"/>
      <c r="M32" s="57" t="s">
        <v>46</v>
      </c>
      <c r="N32" s="58"/>
      <c r="O32" s="58"/>
      <c r="P32" s="62"/>
    </row>
    <row r="33" spans="2:16" ht="48.75" customHeight="1">
      <c r="B33" s="63">
        <v>20</v>
      </c>
      <c r="C33" s="117" t="s">
        <v>726</v>
      </c>
      <c r="D33" s="93"/>
      <c r="E33" s="93"/>
      <c r="F33" s="93"/>
      <c r="G33" s="93"/>
      <c r="H33" s="93"/>
      <c r="I33" s="93"/>
      <c r="J33" s="93"/>
      <c r="K33" s="94"/>
      <c r="L33" s="64"/>
      <c r="M33" s="57" t="s">
        <v>46</v>
      </c>
      <c r="N33" s="58"/>
      <c r="O33" s="58"/>
      <c r="P33" s="62"/>
    </row>
    <row r="34" spans="2:16" ht="39.75" customHeight="1">
      <c r="B34" s="63">
        <v>21</v>
      </c>
      <c r="C34" s="117" t="s">
        <v>727</v>
      </c>
      <c r="D34" s="93"/>
      <c r="E34" s="93"/>
      <c r="F34" s="93"/>
      <c r="G34" s="93"/>
      <c r="H34" s="93"/>
      <c r="I34" s="93"/>
      <c r="J34" s="93"/>
      <c r="K34" s="94"/>
      <c r="L34" s="64"/>
      <c r="M34" s="57" t="s">
        <v>46</v>
      </c>
      <c r="N34" s="58"/>
      <c r="O34" s="58"/>
      <c r="P34" s="62"/>
    </row>
    <row r="35" spans="2:16" ht="50.25" customHeight="1">
      <c r="B35" s="41">
        <v>22</v>
      </c>
      <c r="C35" s="117" t="s">
        <v>728</v>
      </c>
      <c r="D35" s="93"/>
      <c r="E35" s="93"/>
      <c r="F35" s="93"/>
      <c r="G35" s="93"/>
      <c r="H35" s="93"/>
      <c r="I35" s="93"/>
      <c r="J35" s="93"/>
      <c r="K35" s="94"/>
      <c r="L35" s="64"/>
      <c r="M35" s="57" t="s">
        <v>46</v>
      </c>
      <c r="N35" s="58"/>
      <c r="O35" s="58"/>
      <c r="P35" s="62"/>
    </row>
    <row r="36" spans="2:16" ht="52.5" customHeight="1">
      <c r="B36" s="63">
        <v>23</v>
      </c>
      <c r="C36" s="117" t="s">
        <v>732</v>
      </c>
      <c r="D36" s="93"/>
      <c r="E36" s="93"/>
      <c r="F36" s="93"/>
      <c r="G36" s="93"/>
      <c r="H36" s="93"/>
      <c r="I36" s="93"/>
      <c r="J36" s="93"/>
      <c r="K36" s="94"/>
      <c r="L36" s="64"/>
      <c r="M36" s="57" t="s">
        <v>46</v>
      </c>
      <c r="N36" s="58"/>
      <c r="O36" s="58"/>
      <c r="P36" s="62"/>
    </row>
    <row r="37" spans="2:16" ht="31.5" customHeight="1">
      <c r="B37" s="63">
        <v>24</v>
      </c>
      <c r="C37" s="117" t="s">
        <v>729</v>
      </c>
      <c r="D37" s="93"/>
      <c r="E37" s="93"/>
      <c r="F37" s="93"/>
      <c r="G37" s="93"/>
      <c r="H37" s="93"/>
      <c r="I37" s="93"/>
      <c r="J37" s="93"/>
      <c r="K37" s="94"/>
      <c r="L37" s="64"/>
      <c r="M37" s="57" t="s">
        <v>46</v>
      </c>
      <c r="N37" s="58"/>
      <c r="O37" s="58"/>
      <c r="P37" s="62"/>
    </row>
    <row r="38" spans="2:16" ht="45.75" customHeight="1">
      <c r="B38" s="41">
        <v>25</v>
      </c>
      <c r="C38" s="117" t="s">
        <v>730</v>
      </c>
      <c r="D38" s="93"/>
      <c r="E38" s="93"/>
      <c r="F38" s="93"/>
      <c r="G38" s="93"/>
      <c r="H38" s="93"/>
      <c r="I38" s="93"/>
      <c r="J38" s="93"/>
      <c r="K38" s="94"/>
      <c r="L38" s="64"/>
      <c r="M38" s="57" t="s">
        <v>46</v>
      </c>
      <c r="N38" s="58"/>
      <c r="O38" s="58"/>
      <c r="P38" s="62"/>
    </row>
    <row r="39" spans="2:16" ht="36.75" customHeight="1">
      <c r="B39" s="63">
        <v>26</v>
      </c>
      <c r="C39" s="117" t="s">
        <v>731</v>
      </c>
      <c r="D39" s="93"/>
      <c r="E39" s="93"/>
      <c r="F39" s="93"/>
      <c r="G39" s="93"/>
      <c r="H39" s="93"/>
      <c r="I39" s="93"/>
      <c r="J39" s="93"/>
      <c r="K39" s="94"/>
      <c r="L39" s="64"/>
      <c r="M39" s="57" t="s">
        <v>46</v>
      </c>
      <c r="N39" s="58"/>
      <c r="O39" s="58"/>
      <c r="P39" s="62"/>
    </row>
    <row r="40" spans="2:16" ht="51" customHeight="1">
      <c r="B40" s="63">
        <v>27</v>
      </c>
      <c r="C40" s="117" t="s">
        <v>733</v>
      </c>
      <c r="D40" s="93"/>
      <c r="E40" s="93"/>
      <c r="F40" s="93"/>
      <c r="G40" s="93"/>
      <c r="H40" s="93"/>
      <c r="I40" s="93"/>
      <c r="J40" s="93"/>
      <c r="K40" s="94"/>
      <c r="L40" s="64"/>
      <c r="M40" s="57" t="s">
        <v>46</v>
      </c>
      <c r="N40" s="58"/>
      <c r="O40" s="58"/>
      <c r="P40" s="62"/>
    </row>
    <row r="41" spans="2:16" ht="48" customHeight="1">
      <c r="B41" s="41">
        <v>28</v>
      </c>
      <c r="C41" s="117" t="s">
        <v>734</v>
      </c>
      <c r="D41" s="93"/>
      <c r="E41" s="93"/>
      <c r="F41" s="93"/>
      <c r="G41" s="93"/>
      <c r="H41" s="93"/>
      <c r="I41" s="93"/>
      <c r="J41" s="93"/>
      <c r="K41" s="94"/>
      <c r="L41" s="64"/>
      <c r="M41" s="57" t="s">
        <v>46</v>
      </c>
      <c r="N41" s="58"/>
      <c r="O41" s="58"/>
      <c r="P41" s="62"/>
    </row>
    <row r="42" spans="2:16" ht="47.25" customHeight="1">
      <c r="B42" s="63">
        <v>29</v>
      </c>
      <c r="C42" s="117" t="s">
        <v>735</v>
      </c>
      <c r="D42" s="93"/>
      <c r="E42" s="93"/>
      <c r="F42" s="93"/>
      <c r="G42" s="93"/>
      <c r="H42" s="93"/>
      <c r="I42" s="93"/>
      <c r="J42" s="93"/>
      <c r="K42" s="94"/>
      <c r="L42" s="64"/>
      <c r="M42" s="57" t="s">
        <v>46</v>
      </c>
      <c r="N42" s="58"/>
      <c r="O42" s="58"/>
      <c r="P42" s="62"/>
    </row>
    <row r="43" spans="2:16" ht="38.25" customHeight="1">
      <c r="B43" s="63">
        <v>30</v>
      </c>
      <c r="C43" s="117" t="s">
        <v>736</v>
      </c>
      <c r="D43" s="93"/>
      <c r="E43" s="93"/>
      <c r="F43" s="93"/>
      <c r="G43" s="93"/>
      <c r="H43" s="93"/>
      <c r="I43" s="93"/>
      <c r="J43" s="93"/>
      <c r="K43" s="94"/>
      <c r="L43" s="64"/>
      <c r="M43" s="57" t="s">
        <v>46</v>
      </c>
      <c r="N43" s="58"/>
      <c r="O43" s="58"/>
      <c r="P43" s="62"/>
    </row>
    <row r="44" spans="2:16" ht="14.25" customHeight="1">
      <c r="B44" s="41">
        <v>31</v>
      </c>
      <c r="C44" s="117"/>
      <c r="D44" s="93"/>
      <c r="E44" s="93"/>
      <c r="F44" s="93"/>
      <c r="G44" s="93"/>
      <c r="H44" s="93"/>
      <c r="I44" s="93"/>
      <c r="J44" s="93"/>
      <c r="K44" s="94"/>
      <c r="L44" s="64"/>
      <c r="M44" s="57"/>
      <c r="N44" s="58"/>
      <c r="O44" s="58"/>
      <c r="P44" s="62"/>
    </row>
    <row r="45" spans="2:16" ht="14.25" customHeight="1">
      <c r="B45" s="63">
        <v>32</v>
      </c>
      <c r="C45" s="117"/>
      <c r="D45" s="93"/>
      <c r="E45" s="93"/>
      <c r="F45" s="93"/>
      <c r="G45" s="93"/>
      <c r="H45" s="93"/>
      <c r="I45" s="93"/>
      <c r="J45" s="93"/>
      <c r="K45" s="94"/>
      <c r="L45" s="64"/>
      <c r="M45" s="57"/>
      <c r="N45" s="58"/>
      <c r="O45" s="58"/>
      <c r="P45" s="62"/>
    </row>
    <row r="46" spans="2:16" ht="14.25" customHeight="1">
      <c r="B46" s="63">
        <v>33</v>
      </c>
      <c r="C46" s="117"/>
      <c r="D46" s="93"/>
      <c r="E46" s="93"/>
      <c r="F46" s="93"/>
      <c r="G46" s="93"/>
      <c r="H46" s="93"/>
      <c r="I46" s="93"/>
      <c r="J46" s="93"/>
      <c r="K46" s="94"/>
      <c r="L46" s="64"/>
      <c r="M46" s="57"/>
      <c r="N46" s="58"/>
      <c r="O46" s="58"/>
      <c r="P46" s="62"/>
    </row>
    <row r="47" spans="2:16" ht="14.25" customHeight="1">
      <c r="B47" s="41">
        <v>34</v>
      </c>
      <c r="C47" s="117"/>
      <c r="D47" s="93"/>
      <c r="E47" s="93"/>
      <c r="F47" s="93"/>
      <c r="G47" s="93"/>
      <c r="H47" s="93"/>
      <c r="I47" s="93"/>
      <c r="J47" s="93"/>
      <c r="K47" s="94"/>
      <c r="L47" s="64"/>
      <c r="M47" s="57"/>
      <c r="N47" s="58"/>
      <c r="O47" s="58"/>
      <c r="P47" s="62"/>
    </row>
    <row r="48" spans="2:16" ht="14.25" customHeight="1">
      <c r="B48" s="63">
        <v>35</v>
      </c>
      <c r="C48" s="117"/>
      <c r="D48" s="93"/>
      <c r="E48" s="93"/>
      <c r="F48" s="93"/>
      <c r="G48" s="93"/>
      <c r="H48" s="93"/>
      <c r="I48" s="93"/>
      <c r="J48" s="93"/>
      <c r="K48" s="94"/>
      <c r="L48" s="64"/>
      <c r="M48" s="57"/>
      <c r="N48" s="58"/>
      <c r="O48" s="58"/>
      <c r="P48" s="62"/>
    </row>
    <row r="49" spans="2:18" ht="14.25" customHeight="1">
      <c r="B49" s="63">
        <v>36</v>
      </c>
      <c r="C49" s="117"/>
      <c r="D49" s="93"/>
      <c r="E49" s="93"/>
      <c r="F49" s="93"/>
      <c r="G49" s="93"/>
      <c r="H49" s="93"/>
      <c r="I49" s="93"/>
      <c r="J49" s="93"/>
      <c r="K49" s="94"/>
      <c r="L49" s="64"/>
      <c r="M49" s="57"/>
      <c r="N49" s="58"/>
      <c r="O49" s="58"/>
      <c r="P49" s="62"/>
    </row>
    <row r="50" spans="2:18" ht="14.25" customHeight="1">
      <c r="B50" s="41">
        <v>37</v>
      </c>
      <c r="C50" s="117"/>
      <c r="D50" s="93"/>
      <c r="E50" s="93"/>
      <c r="F50" s="93"/>
      <c r="G50" s="93"/>
      <c r="H50" s="93"/>
      <c r="I50" s="93"/>
      <c r="J50" s="93"/>
      <c r="K50" s="94"/>
      <c r="L50" s="44"/>
      <c r="M50" s="57"/>
      <c r="N50" s="58"/>
      <c r="O50" s="58"/>
      <c r="P50" s="59"/>
    </row>
    <row r="51" spans="2:18" ht="14.25" customHeight="1">
      <c r="B51" s="63">
        <v>38</v>
      </c>
      <c r="C51" s="117"/>
      <c r="D51" s="93"/>
      <c r="E51" s="93"/>
      <c r="F51" s="93"/>
      <c r="G51" s="93"/>
      <c r="H51" s="93"/>
      <c r="I51" s="93"/>
      <c r="J51" s="93"/>
      <c r="K51" s="94"/>
      <c r="M51" s="57"/>
      <c r="N51" s="58"/>
      <c r="O51" s="58"/>
      <c r="P51" s="59"/>
    </row>
    <row r="52" spans="2:18" ht="14.25" customHeight="1">
      <c r="B52" s="63">
        <v>39</v>
      </c>
      <c r="C52" s="117"/>
      <c r="D52" s="93"/>
      <c r="E52" s="93"/>
      <c r="F52" s="93"/>
      <c r="G52" s="93"/>
      <c r="H52" s="93"/>
      <c r="I52" s="93"/>
      <c r="J52" s="93"/>
      <c r="K52" s="94"/>
      <c r="M52" s="57"/>
      <c r="N52" s="58"/>
      <c r="O52" s="58"/>
      <c r="P52" s="59"/>
    </row>
    <row r="53" spans="2:18" ht="14.25" customHeight="1">
      <c r="B53" s="41">
        <v>40</v>
      </c>
      <c r="C53" s="117"/>
      <c r="D53" s="93"/>
      <c r="E53" s="93"/>
      <c r="F53" s="93"/>
      <c r="G53" s="93"/>
      <c r="H53" s="93"/>
      <c r="I53" s="93"/>
      <c r="J53" s="93"/>
      <c r="K53" s="94"/>
      <c r="L53" s="42"/>
      <c r="M53" s="57"/>
      <c r="N53" s="58"/>
      <c r="O53" s="58"/>
      <c r="P53" s="59"/>
    </row>
    <row r="54" spans="2:18" ht="14.25" customHeight="1">
      <c r="B54" s="63">
        <v>41</v>
      </c>
      <c r="C54" s="117"/>
      <c r="D54" s="93"/>
      <c r="E54" s="93"/>
      <c r="F54" s="93"/>
      <c r="G54" s="93"/>
      <c r="H54" s="93"/>
      <c r="I54" s="93"/>
      <c r="J54" s="93"/>
      <c r="K54" s="94"/>
      <c r="L54" s="44"/>
      <c r="M54" s="57"/>
      <c r="N54" s="58"/>
      <c r="O54" s="58"/>
      <c r="P54" s="59"/>
    </row>
    <row r="55" spans="2:18" ht="14.25" customHeight="1"/>
    <row r="56" spans="2:18" ht="14.25" customHeight="1"/>
    <row r="57" spans="2:18" ht="14.25" customHeight="1">
      <c r="B57" s="35"/>
      <c r="C57" s="125" t="s">
        <v>413</v>
      </c>
      <c r="D57" s="99"/>
      <c r="E57" s="99"/>
      <c r="F57" s="99"/>
      <c r="G57" s="99"/>
      <c r="H57" s="99"/>
      <c r="I57" s="99"/>
      <c r="J57" s="100"/>
      <c r="K57" s="36"/>
    </row>
    <row r="58" spans="2:18" ht="14.25" customHeight="1"/>
    <row r="59" spans="2:18" ht="14.25" customHeight="1">
      <c r="B59" s="40"/>
      <c r="C59" s="120"/>
      <c r="D59" s="109"/>
      <c r="E59" s="110"/>
      <c r="F59" s="36"/>
      <c r="G59" s="36"/>
      <c r="H59" s="36"/>
      <c r="I59" s="36"/>
      <c r="J59" s="36"/>
      <c r="K59" s="36"/>
    </row>
    <row r="60" spans="2:18" ht="32.25" customHeight="1">
      <c r="B60" s="41">
        <v>1</v>
      </c>
      <c r="C60" s="117" t="s">
        <v>414</v>
      </c>
      <c r="D60" s="93"/>
      <c r="E60" s="93"/>
      <c r="F60" s="93"/>
      <c r="G60" s="93"/>
      <c r="H60" s="93"/>
      <c r="I60" s="93"/>
      <c r="J60" s="93"/>
      <c r="K60" s="94"/>
      <c r="L60" s="42"/>
      <c r="M60" s="57" t="s">
        <v>46</v>
      </c>
      <c r="N60" s="58"/>
      <c r="O60" s="58"/>
      <c r="P60" s="59"/>
    </row>
    <row r="61" spans="2:18" ht="32.25" customHeight="1">
      <c r="B61" s="35">
        <v>2</v>
      </c>
      <c r="C61" s="117" t="s">
        <v>415</v>
      </c>
      <c r="D61" s="93"/>
      <c r="E61" s="93"/>
      <c r="F61" s="93"/>
      <c r="G61" s="93"/>
      <c r="H61" s="93"/>
      <c r="I61" s="93"/>
      <c r="J61" s="93"/>
      <c r="K61" s="94"/>
      <c r="L61" s="44"/>
      <c r="M61" s="57" t="s">
        <v>46</v>
      </c>
      <c r="N61" s="58"/>
      <c r="O61" s="58"/>
      <c r="P61" s="59"/>
    </row>
    <row r="62" spans="2:18" ht="32.25" customHeight="1">
      <c r="B62" s="41">
        <v>3</v>
      </c>
      <c r="C62" s="117" t="s">
        <v>416</v>
      </c>
      <c r="D62" s="93"/>
      <c r="E62" s="93"/>
      <c r="F62" s="93"/>
      <c r="G62" s="93"/>
      <c r="H62" s="93"/>
      <c r="I62" s="93"/>
      <c r="J62" s="93"/>
      <c r="K62" s="94"/>
      <c r="M62" s="57"/>
      <c r="N62" s="58" t="s">
        <v>46</v>
      </c>
      <c r="O62" s="58"/>
      <c r="P62" s="59"/>
      <c r="R62" s="47" t="s">
        <v>384</v>
      </c>
    </row>
    <row r="63" spans="2:18" ht="32.25" customHeight="1">
      <c r="B63" s="41">
        <v>4</v>
      </c>
      <c r="C63" s="117" t="s">
        <v>417</v>
      </c>
      <c r="D63" s="93"/>
      <c r="E63" s="93"/>
      <c r="F63" s="93"/>
      <c r="G63" s="93"/>
      <c r="H63" s="93"/>
      <c r="I63" s="93"/>
      <c r="J63" s="93"/>
      <c r="K63" s="94"/>
      <c r="M63" s="57" t="s">
        <v>46</v>
      </c>
      <c r="N63" s="58"/>
      <c r="O63" s="58"/>
      <c r="P63" s="59"/>
    </row>
    <row r="64" spans="2:18" ht="32.25" customHeight="1">
      <c r="B64" s="41">
        <v>5</v>
      </c>
      <c r="C64" s="117" t="s">
        <v>418</v>
      </c>
      <c r="D64" s="93"/>
      <c r="E64" s="93"/>
      <c r="F64" s="93"/>
      <c r="G64" s="93"/>
      <c r="H64" s="93"/>
      <c r="I64" s="93"/>
      <c r="J64" s="93"/>
      <c r="K64" s="94"/>
      <c r="L64" s="42"/>
      <c r="M64" s="57" t="s">
        <v>46</v>
      </c>
      <c r="N64" s="58"/>
      <c r="O64" s="58"/>
      <c r="P64" s="59"/>
    </row>
    <row r="65" spans="2:18" ht="32.25" customHeight="1">
      <c r="B65" s="41">
        <v>6</v>
      </c>
      <c r="C65" s="117" t="s">
        <v>419</v>
      </c>
      <c r="D65" s="93"/>
      <c r="E65" s="93"/>
      <c r="F65" s="93"/>
      <c r="G65" s="93"/>
      <c r="H65" s="93"/>
      <c r="I65" s="93"/>
      <c r="J65" s="93"/>
      <c r="K65" s="94"/>
      <c r="L65" s="46"/>
      <c r="M65" s="57" t="s">
        <v>46</v>
      </c>
      <c r="N65" s="58"/>
      <c r="O65" s="58"/>
      <c r="P65" s="59"/>
    </row>
    <row r="66" spans="2:18" ht="32.25" customHeight="1">
      <c r="B66" s="35">
        <v>7</v>
      </c>
      <c r="C66" s="117" t="s">
        <v>420</v>
      </c>
      <c r="D66" s="93"/>
      <c r="E66" s="93"/>
      <c r="F66" s="93"/>
      <c r="G66" s="93"/>
      <c r="H66" s="93"/>
      <c r="I66" s="93"/>
      <c r="J66" s="93"/>
      <c r="K66" s="94"/>
      <c r="L66" s="46"/>
      <c r="M66" s="68" t="s">
        <v>46</v>
      </c>
      <c r="N66" s="58"/>
      <c r="O66" s="58"/>
      <c r="P66" s="59"/>
      <c r="R66" s="47"/>
    </row>
    <row r="67" spans="2:18" ht="32.25" customHeight="1">
      <c r="B67" s="41">
        <v>8</v>
      </c>
      <c r="C67" s="117" t="s">
        <v>421</v>
      </c>
      <c r="D67" s="93"/>
      <c r="E67" s="93"/>
      <c r="F67" s="93"/>
      <c r="G67" s="93"/>
      <c r="H67" s="93"/>
      <c r="I67" s="93"/>
      <c r="J67" s="93"/>
      <c r="K67" s="94"/>
      <c r="L67" s="46"/>
      <c r="M67" s="57" t="s">
        <v>46</v>
      </c>
      <c r="N67" s="58"/>
      <c r="O67" s="58"/>
      <c r="P67" s="59"/>
    </row>
    <row r="68" spans="2:18" ht="32.25" customHeight="1">
      <c r="B68" s="41">
        <v>9</v>
      </c>
      <c r="C68" s="117" t="s">
        <v>422</v>
      </c>
      <c r="D68" s="93"/>
      <c r="E68" s="93"/>
      <c r="F68" s="93"/>
      <c r="G68" s="93"/>
      <c r="H68" s="93"/>
      <c r="I68" s="93"/>
      <c r="J68" s="93"/>
      <c r="K68" s="94"/>
      <c r="L68" s="46"/>
      <c r="M68" s="57" t="s">
        <v>46</v>
      </c>
      <c r="N68" s="58"/>
      <c r="O68" s="58"/>
      <c r="P68" s="59"/>
    </row>
    <row r="69" spans="2:18" ht="32.25" customHeight="1">
      <c r="B69" s="41">
        <v>10</v>
      </c>
      <c r="C69" s="117" t="s">
        <v>423</v>
      </c>
      <c r="D69" s="93"/>
      <c r="E69" s="93"/>
      <c r="F69" s="93"/>
      <c r="G69" s="93"/>
      <c r="H69" s="93"/>
      <c r="I69" s="93"/>
      <c r="J69" s="93"/>
      <c r="K69" s="94"/>
      <c r="L69" s="46"/>
      <c r="M69" s="57" t="s">
        <v>46</v>
      </c>
      <c r="N69" s="58"/>
      <c r="O69" s="58"/>
      <c r="P69" s="59"/>
    </row>
    <row r="70" spans="2:18" ht="32.25" customHeight="1">
      <c r="B70" s="41">
        <v>11</v>
      </c>
      <c r="C70" s="117"/>
      <c r="D70" s="93"/>
      <c r="E70" s="93"/>
      <c r="F70" s="93"/>
      <c r="G70" s="93"/>
      <c r="H70" s="93"/>
      <c r="I70" s="93"/>
      <c r="J70" s="93"/>
      <c r="K70" s="94"/>
      <c r="L70" s="46"/>
      <c r="M70" s="57"/>
      <c r="N70" s="58"/>
      <c r="O70" s="58"/>
      <c r="P70" s="59"/>
    </row>
    <row r="71" spans="2:18" ht="32.25" customHeight="1">
      <c r="B71" s="35">
        <v>12</v>
      </c>
      <c r="C71" s="117"/>
      <c r="D71" s="93"/>
      <c r="E71" s="93"/>
      <c r="F71" s="93"/>
      <c r="G71" s="93"/>
      <c r="H71" s="93"/>
      <c r="I71" s="93"/>
      <c r="J71" s="93"/>
      <c r="K71" s="94"/>
      <c r="L71" s="46"/>
      <c r="M71" s="57"/>
      <c r="N71" s="58"/>
      <c r="O71" s="58"/>
      <c r="P71" s="59"/>
    </row>
    <row r="72" spans="2:18" ht="32.25" customHeight="1">
      <c r="B72" s="41">
        <v>13</v>
      </c>
      <c r="C72" s="117"/>
      <c r="D72" s="93"/>
      <c r="E72" s="93"/>
      <c r="F72" s="93"/>
      <c r="G72" s="93"/>
      <c r="H72" s="93"/>
      <c r="I72" s="93"/>
      <c r="J72" s="93"/>
      <c r="K72" s="94"/>
      <c r="L72" s="44"/>
      <c r="M72" s="57"/>
      <c r="N72" s="58"/>
      <c r="O72" s="58"/>
      <c r="P72" s="59"/>
    </row>
    <row r="73" spans="2:18" ht="14.25" customHeight="1"/>
    <row r="74" spans="2:18" ht="14.25" customHeight="1"/>
    <row r="75" spans="2:18" ht="14.25" customHeight="1"/>
    <row r="76" spans="2:18" ht="14.25" customHeight="1"/>
    <row r="77" spans="2:18" ht="14.25" customHeight="1"/>
    <row r="78" spans="2:18" ht="14.25" customHeight="1"/>
    <row r="79" spans="2:18" ht="14.25" customHeight="1"/>
    <row r="80" spans="2:18"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sheetData>
  <mergeCells count="66">
    <mergeCell ref="C46:K46"/>
    <mergeCell ref="C47:K47"/>
    <mergeCell ref="C48:K48"/>
    <mergeCell ref="C49:K49"/>
    <mergeCell ref="C19:K19"/>
    <mergeCell ref="C20:K20"/>
    <mergeCell ref="C41:K41"/>
    <mergeCell ref="C42:K42"/>
    <mergeCell ref="C43:K43"/>
    <mergeCell ref="C44:K44"/>
    <mergeCell ref="C45:K45"/>
    <mergeCell ref="C36:K36"/>
    <mergeCell ref="C37:K37"/>
    <mergeCell ref="C38:K38"/>
    <mergeCell ref="C39:K39"/>
    <mergeCell ref="C40:K40"/>
    <mergeCell ref="C31:K31"/>
    <mergeCell ref="C32:K32"/>
    <mergeCell ref="C33:K33"/>
    <mergeCell ref="C34:K34"/>
    <mergeCell ref="C35:K35"/>
    <mergeCell ref="C26:K26"/>
    <mergeCell ref="C27:K27"/>
    <mergeCell ref="C28:K28"/>
    <mergeCell ref="C29:K29"/>
    <mergeCell ref="C30:K30"/>
    <mergeCell ref="C2:G2"/>
    <mergeCell ref="C3:G3"/>
    <mergeCell ref="C4:G4"/>
    <mergeCell ref="B5:C5"/>
    <mergeCell ref="M8:O8"/>
    <mergeCell ref="P8:P9"/>
    <mergeCell ref="C9:J9"/>
    <mergeCell ref="C11:E11"/>
    <mergeCell ref="C12:K12"/>
    <mergeCell ref="C50:K50"/>
    <mergeCell ref="C13:K13"/>
    <mergeCell ref="C14:K14"/>
    <mergeCell ref="C15:K15"/>
    <mergeCell ref="C16:K16"/>
    <mergeCell ref="C17:K17"/>
    <mergeCell ref="C18:K18"/>
    <mergeCell ref="C21:K21"/>
    <mergeCell ref="C22:K22"/>
    <mergeCell ref="C23:K23"/>
    <mergeCell ref="C24:K24"/>
    <mergeCell ref="C25:K25"/>
    <mergeCell ref="C51:K51"/>
    <mergeCell ref="C52:K52"/>
    <mergeCell ref="C53:K53"/>
    <mergeCell ref="C54:K54"/>
    <mergeCell ref="C65:K65"/>
    <mergeCell ref="C71:K71"/>
    <mergeCell ref="C72:K72"/>
    <mergeCell ref="C57:J57"/>
    <mergeCell ref="C59:E59"/>
    <mergeCell ref="C60:K60"/>
    <mergeCell ref="C61:K61"/>
    <mergeCell ref="C62:K62"/>
    <mergeCell ref="C63:K63"/>
    <mergeCell ref="C64:K64"/>
    <mergeCell ref="C66:K66"/>
    <mergeCell ref="C67:K67"/>
    <mergeCell ref="C68:K68"/>
    <mergeCell ref="C69:K69"/>
    <mergeCell ref="C70:K70"/>
  </mergeCells>
  <hyperlinks>
    <hyperlink ref="V2" location="'REQ. FUN. GEN'!A1" display="Volver" xr:uid="{00000000-0004-0000-1200-000000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V1003"/>
  <sheetViews>
    <sheetView topLeftCell="A7"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25" t="s">
        <v>424</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t="s">
        <v>762</v>
      </c>
      <c r="D12" s="93"/>
      <c r="E12" s="93"/>
      <c r="F12" s="93"/>
      <c r="G12" s="93"/>
      <c r="H12" s="93"/>
      <c r="I12" s="93"/>
      <c r="J12" s="93"/>
      <c r="K12" s="94"/>
      <c r="L12" s="42"/>
      <c r="M12" s="57" t="s">
        <v>46</v>
      </c>
      <c r="N12" s="58"/>
      <c r="O12" s="58"/>
      <c r="P12" s="59"/>
    </row>
    <row r="13" spans="2:22" ht="14.25" customHeight="1">
      <c r="B13" s="63"/>
      <c r="C13" s="117" t="s">
        <v>761</v>
      </c>
      <c r="D13" s="93"/>
      <c r="E13" s="93"/>
      <c r="F13" s="93"/>
      <c r="G13" s="93"/>
      <c r="H13" s="93"/>
      <c r="I13" s="93"/>
      <c r="J13" s="93"/>
      <c r="K13" s="94"/>
      <c r="L13" s="64"/>
      <c r="M13" s="57" t="s">
        <v>46</v>
      </c>
      <c r="N13" s="58"/>
      <c r="O13" s="58"/>
      <c r="P13" s="62"/>
    </row>
    <row r="14" spans="2:22" ht="14.25" customHeight="1">
      <c r="B14" s="63"/>
      <c r="C14" s="117" t="s">
        <v>763</v>
      </c>
      <c r="D14" s="93"/>
      <c r="E14" s="93"/>
      <c r="F14" s="93"/>
      <c r="G14" s="93"/>
      <c r="H14" s="93"/>
      <c r="I14" s="93"/>
      <c r="J14" s="93"/>
      <c r="K14" s="94"/>
      <c r="L14" s="64"/>
      <c r="M14" s="57" t="s">
        <v>46</v>
      </c>
      <c r="N14" s="58"/>
      <c r="O14" s="58"/>
      <c r="P14" s="62"/>
    </row>
    <row r="15" spans="2:22" ht="14.25" customHeight="1">
      <c r="B15" s="63"/>
      <c r="C15" s="117" t="s">
        <v>764</v>
      </c>
      <c r="D15" s="93"/>
      <c r="E15" s="93"/>
      <c r="F15" s="93"/>
      <c r="G15" s="93"/>
      <c r="H15" s="93"/>
      <c r="I15" s="93"/>
      <c r="J15" s="93"/>
      <c r="K15" s="94"/>
      <c r="L15" s="64"/>
      <c r="M15" s="57" t="s">
        <v>46</v>
      </c>
      <c r="N15" s="58"/>
      <c r="O15" s="58"/>
      <c r="P15" s="62"/>
    </row>
    <row r="16" spans="2:22" ht="14.25" customHeight="1">
      <c r="B16" s="63"/>
      <c r="C16" s="117" t="s">
        <v>765</v>
      </c>
      <c r="D16" s="93"/>
      <c r="E16" s="93"/>
      <c r="F16" s="93"/>
      <c r="G16" s="93"/>
      <c r="H16" s="93"/>
      <c r="I16" s="93"/>
      <c r="J16" s="93"/>
      <c r="K16" s="94"/>
      <c r="L16" s="64"/>
      <c r="M16" s="57" t="s">
        <v>46</v>
      </c>
      <c r="N16" s="58"/>
      <c r="O16" s="58"/>
      <c r="P16" s="62"/>
    </row>
    <row r="17" spans="2:18" ht="14.25" customHeight="1">
      <c r="B17" s="63"/>
      <c r="C17" s="117" t="s">
        <v>766</v>
      </c>
      <c r="D17" s="93"/>
      <c r="E17" s="93"/>
      <c r="F17" s="93"/>
      <c r="G17" s="93"/>
      <c r="H17" s="93"/>
      <c r="I17" s="93"/>
      <c r="J17" s="93"/>
      <c r="K17" s="94"/>
      <c r="L17" s="64"/>
      <c r="M17" s="57" t="s">
        <v>46</v>
      </c>
      <c r="N17" s="58"/>
      <c r="O17" s="58"/>
      <c r="P17" s="62"/>
    </row>
    <row r="18" spans="2:18" ht="14.25" customHeight="1">
      <c r="B18" s="63"/>
      <c r="C18" s="117" t="s">
        <v>767</v>
      </c>
      <c r="D18" s="93"/>
      <c r="E18" s="93"/>
      <c r="F18" s="93"/>
      <c r="G18" s="93"/>
      <c r="H18" s="93"/>
      <c r="I18" s="93"/>
      <c r="J18" s="93"/>
      <c r="K18" s="94"/>
      <c r="L18" s="64"/>
      <c r="M18" s="57" t="s">
        <v>46</v>
      </c>
      <c r="N18" s="58"/>
      <c r="O18" s="58"/>
      <c r="P18" s="62"/>
    </row>
    <row r="19" spans="2:18" ht="14.25" customHeight="1">
      <c r="B19" s="41">
        <v>5</v>
      </c>
      <c r="C19" s="134" t="s">
        <v>714</v>
      </c>
      <c r="D19" s="93"/>
      <c r="E19" s="93"/>
      <c r="F19" s="93"/>
      <c r="G19" s="93"/>
      <c r="H19" s="93"/>
      <c r="I19" s="93"/>
      <c r="J19" s="93"/>
      <c r="K19" s="94"/>
      <c r="L19" s="42"/>
      <c r="M19" s="68" t="s">
        <v>46</v>
      </c>
      <c r="N19" s="58"/>
      <c r="O19" s="58"/>
      <c r="P19" s="59"/>
    </row>
    <row r="20" spans="2:18" ht="28.5" customHeight="1">
      <c r="B20" s="35">
        <v>6</v>
      </c>
      <c r="C20" s="134" t="s">
        <v>718</v>
      </c>
      <c r="D20" s="93"/>
      <c r="E20" s="93"/>
      <c r="F20" s="93"/>
      <c r="G20" s="93"/>
      <c r="H20" s="93"/>
      <c r="I20" s="93"/>
      <c r="J20" s="93"/>
      <c r="K20" s="94"/>
      <c r="L20" s="44"/>
      <c r="M20" s="68" t="s">
        <v>46</v>
      </c>
      <c r="N20" s="58"/>
      <c r="O20" s="58"/>
      <c r="P20" s="59"/>
    </row>
    <row r="21" spans="2:18" ht="14.25" customHeight="1"/>
    <row r="22" spans="2:18" ht="14.25" customHeight="1"/>
    <row r="23" spans="2:18" ht="14.25" customHeight="1">
      <c r="B23" s="35"/>
      <c r="C23" s="125" t="s">
        <v>425</v>
      </c>
      <c r="D23" s="99"/>
      <c r="E23" s="99"/>
      <c r="F23" s="99"/>
      <c r="G23" s="99"/>
      <c r="H23" s="99"/>
      <c r="I23" s="99"/>
      <c r="J23" s="100"/>
      <c r="K23" s="36"/>
    </row>
    <row r="24" spans="2:18" ht="14.25" customHeight="1"/>
    <row r="25" spans="2:18" ht="14.25" customHeight="1">
      <c r="B25" s="40"/>
      <c r="C25" s="120"/>
      <c r="D25" s="109"/>
      <c r="E25" s="110"/>
      <c r="F25" s="36"/>
      <c r="G25" s="36"/>
      <c r="H25" s="36"/>
      <c r="I25" s="36"/>
      <c r="J25" s="36"/>
      <c r="K25" s="36"/>
    </row>
    <row r="26" spans="2:18" ht="32.25" customHeight="1">
      <c r="B26" s="41">
        <v>1</v>
      </c>
      <c r="C26" s="117" t="s">
        <v>426</v>
      </c>
      <c r="D26" s="93"/>
      <c r="E26" s="93"/>
      <c r="F26" s="93"/>
      <c r="G26" s="93"/>
      <c r="H26" s="93"/>
      <c r="I26" s="93"/>
      <c r="J26" s="93"/>
      <c r="K26" s="94"/>
      <c r="L26" s="42"/>
      <c r="M26" s="57"/>
      <c r="N26" s="58" t="s">
        <v>46</v>
      </c>
      <c r="O26" s="58"/>
      <c r="P26" s="59"/>
      <c r="R26" s="61" t="s">
        <v>384</v>
      </c>
    </row>
    <row r="27" spans="2:18" ht="32.25" customHeight="1">
      <c r="B27" s="35">
        <v>2</v>
      </c>
      <c r="C27" s="117" t="s">
        <v>427</v>
      </c>
      <c r="D27" s="93"/>
      <c r="E27" s="93"/>
      <c r="F27" s="93"/>
      <c r="G27" s="93"/>
      <c r="H27" s="93"/>
      <c r="I27" s="93"/>
      <c r="J27" s="93"/>
      <c r="K27" s="94"/>
      <c r="L27" s="44"/>
      <c r="M27" s="57" t="s">
        <v>46</v>
      </c>
      <c r="N27" s="58"/>
      <c r="O27" s="58"/>
      <c r="P27" s="59"/>
    </row>
    <row r="28" spans="2:18" ht="32.25" customHeight="1">
      <c r="B28" s="41">
        <v>3</v>
      </c>
      <c r="C28" s="117" t="s">
        <v>428</v>
      </c>
      <c r="D28" s="93"/>
      <c r="E28" s="93"/>
      <c r="F28" s="93"/>
      <c r="G28" s="93"/>
      <c r="H28" s="93"/>
      <c r="I28" s="93"/>
      <c r="J28" s="93"/>
      <c r="K28" s="94"/>
      <c r="M28" s="57" t="s">
        <v>46</v>
      </c>
      <c r="N28" s="58"/>
      <c r="O28" s="58"/>
      <c r="P28" s="59"/>
      <c r="R28" s="61"/>
    </row>
    <row r="29" spans="2:18" ht="32.25" customHeight="1">
      <c r="B29" s="41">
        <v>4</v>
      </c>
      <c r="C29" s="117" t="s">
        <v>429</v>
      </c>
      <c r="D29" s="93"/>
      <c r="E29" s="93"/>
      <c r="F29" s="93"/>
      <c r="G29" s="93"/>
      <c r="H29" s="93"/>
      <c r="I29" s="93"/>
      <c r="J29" s="93"/>
      <c r="K29" s="94"/>
      <c r="M29" s="57" t="s">
        <v>46</v>
      </c>
      <c r="N29" s="58"/>
      <c r="O29" s="58"/>
      <c r="P29" s="59"/>
    </row>
    <row r="30" spans="2:18" ht="32.25" customHeight="1">
      <c r="B30" s="41">
        <v>5</v>
      </c>
      <c r="C30" s="117" t="s">
        <v>430</v>
      </c>
      <c r="D30" s="93"/>
      <c r="E30" s="93"/>
      <c r="F30" s="93"/>
      <c r="G30" s="93"/>
      <c r="H30" s="93"/>
      <c r="I30" s="93"/>
      <c r="J30" s="93"/>
      <c r="K30" s="94"/>
      <c r="L30" s="42"/>
      <c r="M30" s="57" t="s">
        <v>46</v>
      </c>
      <c r="N30" s="58"/>
      <c r="O30" s="58"/>
      <c r="P30" s="59"/>
    </row>
    <row r="31" spans="2:18" ht="32.25" customHeight="1">
      <c r="B31" s="41">
        <v>6</v>
      </c>
      <c r="C31" s="117"/>
      <c r="D31" s="93"/>
      <c r="E31" s="93"/>
      <c r="F31" s="93"/>
      <c r="G31" s="93"/>
      <c r="H31" s="93"/>
      <c r="I31" s="93"/>
      <c r="J31" s="93"/>
      <c r="K31" s="94"/>
      <c r="L31" s="46"/>
      <c r="M31" s="57"/>
      <c r="N31" s="58"/>
      <c r="O31" s="58"/>
      <c r="P31" s="59"/>
    </row>
    <row r="32" spans="2:18" ht="32.25" customHeight="1">
      <c r="B32" s="35">
        <v>7</v>
      </c>
      <c r="C32" s="117"/>
      <c r="D32" s="93"/>
      <c r="E32" s="93"/>
      <c r="F32" s="93"/>
      <c r="G32" s="93"/>
      <c r="H32" s="93"/>
      <c r="I32" s="93"/>
      <c r="J32" s="93"/>
      <c r="K32" s="94"/>
      <c r="L32" s="46"/>
      <c r="M32" s="57"/>
      <c r="N32" s="58"/>
      <c r="O32" s="58"/>
      <c r="P32" s="59"/>
    </row>
    <row r="33" spans="2:16" ht="32.25" customHeight="1">
      <c r="B33" s="41">
        <v>8</v>
      </c>
      <c r="C33" s="117"/>
      <c r="D33" s="93"/>
      <c r="E33" s="93"/>
      <c r="F33" s="93"/>
      <c r="G33" s="93"/>
      <c r="H33" s="93"/>
      <c r="I33" s="93"/>
      <c r="J33" s="93"/>
      <c r="K33" s="94"/>
      <c r="L33" s="46"/>
      <c r="M33" s="57"/>
      <c r="N33" s="58"/>
      <c r="O33" s="58"/>
      <c r="P33" s="59"/>
    </row>
    <row r="34" spans="2:16" ht="32.25" customHeight="1">
      <c r="B34" s="41">
        <v>9</v>
      </c>
      <c r="C34" s="117"/>
      <c r="D34" s="93"/>
      <c r="E34" s="93"/>
      <c r="F34" s="93"/>
      <c r="G34" s="93"/>
      <c r="H34" s="93"/>
      <c r="I34" s="93"/>
      <c r="J34" s="93"/>
      <c r="K34" s="94"/>
      <c r="L34" s="46"/>
      <c r="M34" s="57"/>
      <c r="N34" s="58"/>
      <c r="O34" s="58"/>
      <c r="P34" s="59"/>
    </row>
    <row r="35" spans="2:16" ht="32.25" customHeight="1">
      <c r="B35" s="41">
        <v>10</v>
      </c>
      <c r="C35" s="117"/>
      <c r="D35" s="93"/>
      <c r="E35" s="93"/>
      <c r="F35" s="93"/>
      <c r="G35" s="93"/>
      <c r="H35" s="93"/>
      <c r="I35" s="93"/>
      <c r="J35" s="93"/>
      <c r="K35" s="94"/>
      <c r="L35" s="46"/>
      <c r="M35" s="57"/>
      <c r="N35" s="58"/>
      <c r="O35" s="58"/>
      <c r="P35" s="59"/>
    </row>
    <row r="36" spans="2:16" ht="32.25" customHeight="1">
      <c r="B36" s="41">
        <v>11</v>
      </c>
      <c r="C36" s="117"/>
      <c r="D36" s="93"/>
      <c r="E36" s="93"/>
      <c r="F36" s="93"/>
      <c r="G36" s="93"/>
      <c r="H36" s="93"/>
      <c r="I36" s="93"/>
      <c r="J36" s="93"/>
      <c r="K36" s="94"/>
      <c r="L36" s="46"/>
      <c r="M36" s="57"/>
      <c r="N36" s="58"/>
      <c r="O36" s="58"/>
      <c r="P36" s="59"/>
    </row>
    <row r="37" spans="2:16" ht="32.25" customHeight="1">
      <c r="B37" s="35">
        <v>12</v>
      </c>
      <c r="C37" s="117"/>
      <c r="D37" s="93"/>
      <c r="E37" s="93"/>
      <c r="F37" s="93"/>
      <c r="G37" s="93"/>
      <c r="H37" s="93"/>
      <c r="I37" s="93"/>
      <c r="J37" s="93"/>
      <c r="K37" s="94"/>
      <c r="L37" s="46"/>
      <c r="M37" s="57"/>
      <c r="N37" s="58"/>
      <c r="O37" s="58"/>
      <c r="P37" s="59"/>
    </row>
    <row r="38" spans="2:16" ht="32.25" customHeight="1">
      <c r="B38" s="41">
        <v>13</v>
      </c>
      <c r="C38" s="117"/>
      <c r="D38" s="93"/>
      <c r="E38" s="93"/>
      <c r="F38" s="93"/>
      <c r="G38" s="93"/>
      <c r="H38" s="93"/>
      <c r="I38" s="93"/>
      <c r="J38" s="93"/>
      <c r="K38" s="94"/>
      <c r="L38" s="44"/>
      <c r="M38" s="57"/>
      <c r="N38" s="58"/>
      <c r="O38" s="58"/>
      <c r="P38" s="59"/>
    </row>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32">
    <mergeCell ref="C2:G2"/>
    <mergeCell ref="C3:G3"/>
    <mergeCell ref="C4:G4"/>
    <mergeCell ref="B5:C5"/>
    <mergeCell ref="M8:O8"/>
    <mergeCell ref="C19:K19"/>
    <mergeCell ref="C20:K20"/>
    <mergeCell ref="C31:K31"/>
    <mergeCell ref="P8:P9"/>
    <mergeCell ref="C9:J9"/>
    <mergeCell ref="C11:E11"/>
    <mergeCell ref="C12:K12"/>
    <mergeCell ref="C13:K13"/>
    <mergeCell ref="C14:K14"/>
    <mergeCell ref="C15:K15"/>
    <mergeCell ref="C16:K16"/>
    <mergeCell ref="C17:K17"/>
    <mergeCell ref="C18:K18"/>
    <mergeCell ref="C37:K37"/>
    <mergeCell ref="C38:K38"/>
    <mergeCell ref="C23:J23"/>
    <mergeCell ref="C25:E25"/>
    <mergeCell ref="C26:K26"/>
    <mergeCell ref="C27:K27"/>
    <mergeCell ref="C28:K28"/>
    <mergeCell ref="C29:K29"/>
    <mergeCell ref="C30:K30"/>
    <mergeCell ref="C32:K32"/>
    <mergeCell ref="C33:K33"/>
    <mergeCell ref="C34:K34"/>
    <mergeCell ref="C35:K35"/>
    <mergeCell ref="C36:K36"/>
  </mergeCells>
  <hyperlinks>
    <hyperlink ref="V2" location="'REQ. NO FUN. GEN'!A1" display="Volver" xr:uid="{00000000-0004-0000-1300-000000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FFFB-E2A0-4C6F-A2A5-1A89877BF99F}">
  <dimension ref="B1:V1008"/>
  <sheetViews>
    <sheetView topLeftCell="A10" workbookViewId="0">
      <selection activeCell="C12" sqref="C12:K12"/>
    </sheetView>
  </sheetViews>
  <sheetFormatPr baseColWidth="10" defaultColWidth="12.5703125" defaultRowHeight="15" customHeight="1"/>
  <cols>
    <col min="1" max="1" width="10.5703125" customWidth="1"/>
    <col min="2" max="2" width="4.42578125" customWidth="1"/>
    <col min="3" max="9" width="10.5703125" customWidth="1"/>
    <col min="10" max="10" width="14.85546875" customWidth="1"/>
    <col min="11"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25" t="s">
        <v>786</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2.25" customHeight="1">
      <c r="B12" s="63">
        <v>1</v>
      </c>
      <c r="C12" s="117" t="s">
        <v>791</v>
      </c>
      <c r="D12" s="93"/>
      <c r="E12" s="93"/>
      <c r="F12" s="93"/>
      <c r="G12" s="93"/>
      <c r="H12" s="93"/>
      <c r="I12" s="93"/>
      <c r="J12" s="93"/>
      <c r="K12" s="94"/>
      <c r="L12" s="64"/>
      <c r="M12" s="57" t="s">
        <v>46</v>
      </c>
      <c r="N12" s="58"/>
      <c r="O12" s="58"/>
      <c r="P12" s="62"/>
    </row>
    <row r="13" spans="2:22" ht="32.25" customHeight="1">
      <c r="B13" s="63">
        <v>2</v>
      </c>
      <c r="C13" s="117" t="s">
        <v>792</v>
      </c>
      <c r="D13" s="93"/>
      <c r="E13" s="93"/>
      <c r="F13" s="93"/>
      <c r="G13" s="93"/>
      <c r="H13" s="93"/>
      <c r="I13" s="93"/>
      <c r="J13" s="93"/>
      <c r="K13" s="94"/>
      <c r="L13" s="64"/>
      <c r="M13" s="57" t="s">
        <v>46</v>
      </c>
      <c r="N13" s="58"/>
      <c r="O13" s="58"/>
      <c r="P13" s="62"/>
    </row>
    <row r="14" spans="2:22" ht="51" customHeight="1">
      <c r="B14" s="41">
        <v>3</v>
      </c>
      <c r="C14" s="117" t="s">
        <v>793</v>
      </c>
      <c r="D14" s="93"/>
      <c r="E14" s="93"/>
      <c r="F14" s="93"/>
      <c r="G14" s="93"/>
      <c r="H14" s="93"/>
      <c r="I14" s="93"/>
      <c r="J14" s="93"/>
      <c r="K14" s="94"/>
      <c r="L14" s="64"/>
      <c r="M14" s="57" t="s">
        <v>46</v>
      </c>
      <c r="N14" s="58"/>
      <c r="O14" s="58"/>
      <c r="P14" s="62"/>
    </row>
    <row r="15" spans="2:22" ht="48" customHeight="1">
      <c r="B15" s="63">
        <v>4</v>
      </c>
      <c r="C15" s="117" t="s">
        <v>794</v>
      </c>
      <c r="D15" s="93"/>
      <c r="E15" s="93"/>
      <c r="F15" s="93"/>
      <c r="G15" s="93"/>
      <c r="H15" s="93"/>
      <c r="I15" s="93"/>
      <c r="J15" s="93"/>
      <c r="K15" s="94"/>
      <c r="L15" s="64"/>
      <c r="M15" s="57" t="s">
        <v>46</v>
      </c>
      <c r="N15" s="58"/>
      <c r="O15" s="58"/>
      <c r="P15" s="62"/>
    </row>
    <row r="16" spans="2:22" ht="51" customHeight="1">
      <c r="B16" s="63">
        <v>5</v>
      </c>
      <c r="C16" s="117" t="s">
        <v>795</v>
      </c>
      <c r="D16" s="93"/>
      <c r="E16" s="93"/>
      <c r="F16" s="93"/>
      <c r="G16" s="93"/>
      <c r="H16" s="93"/>
      <c r="I16" s="93"/>
      <c r="J16" s="93"/>
      <c r="K16" s="94"/>
      <c r="L16" s="64"/>
      <c r="M16" s="57" t="s">
        <v>46</v>
      </c>
      <c r="N16" s="58"/>
      <c r="O16" s="58"/>
      <c r="P16" s="62"/>
    </row>
    <row r="17" spans="2:16" ht="60.75" customHeight="1">
      <c r="B17" s="41">
        <v>6</v>
      </c>
      <c r="C17" s="117" t="s">
        <v>796</v>
      </c>
      <c r="D17" s="93"/>
      <c r="E17" s="93"/>
      <c r="F17" s="93"/>
      <c r="G17" s="93"/>
      <c r="H17" s="93"/>
      <c r="I17" s="93"/>
      <c r="J17" s="93"/>
      <c r="K17" s="94"/>
      <c r="L17" s="64"/>
      <c r="M17" s="57" t="s">
        <v>46</v>
      </c>
      <c r="N17" s="58"/>
      <c r="O17" s="58"/>
      <c r="P17" s="62"/>
    </row>
    <row r="18" spans="2:16" ht="43.5" customHeight="1">
      <c r="B18" s="63">
        <v>7</v>
      </c>
      <c r="C18" s="117" t="s">
        <v>800</v>
      </c>
      <c r="D18" s="93"/>
      <c r="E18" s="93"/>
      <c r="F18" s="93"/>
      <c r="G18" s="93"/>
      <c r="H18" s="93"/>
      <c r="I18" s="93"/>
      <c r="J18" s="93"/>
      <c r="K18" s="94"/>
      <c r="L18" s="64"/>
      <c r="M18" s="57" t="s">
        <v>46</v>
      </c>
      <c r="N18" s="58"/>
      <c r="O18" s="58"/>
      <c r="P18" s="62"/>
    </row>
    <row r="19" spans="2:16" ht="32.25" customHeight="1">
      <c r="B19" s="63">
        <v>8</v>
      </c>
      <c r="C19" s="117" t="s">
        <v>797</v>
      </c>
      <c r="D19" s="93"/>
      <c r="E19" s="93"/>
      <c r="F19" s="93"/>
      <c r="G19" s="93"/>
      <c r="H19" s="93"/>
      <c r="I19" s="93"/>
      <c r="J19" s="93"/>
      <c r="K19" s="94"/>
      <c r="L19" s="64"/>
      <c r="M19" s="57" t="s">
        <v>46</v>
      </c>
      <c r="N19" s="58"/>
      <c r="O19" s="58"/>
      <c r="P19" s="62"/>
    </row>
    <row r="20" spans="2:16" ht="32.25" customHeight="1">
      <c r="B20" s="41">
        <v>9</v>
      </c>
      <c r="C20" s="117" t="s">
        <v>801</v>
      </c>
      <c r="D20" s="93"/>
      <c r="E20" s="93"/>
      <c r="F20" s="93"/>
      <c r="G20" s="93"/>
      <c r="H20" s="93"/>
      <c r="I20" s="93"/>
      <c r="J20" s="93"/>
      <c r="K20" s="94"/>
      <c r="L20" s="64"/>
      <c r="M20" s="57" t="s">
        <v>46</v>
      </c>
      <c r="N20" s="58"/>
      <c r="O20" s="58"/>
      <c r="P20" s="62"/>
    </row>
    <row r="21" spans="2:16" ht="46.5" customHeight="1">
      <c r="B21" s="63">
        <v>10</v>
      </c>
      <c r="C21" s="117" t="s">
        <v>802</v>
      </c>
      <c r="D21" s="93"/>
      <c r="E21" s="93"/>
      <c r="F21" s="93"/>
      <c r="G21" s="93"/>
      <c r="H21" s="93"/>
      <c r="I21" s="93"/>
      <c r="J21" s="93"/>
      <c r="K21" s="94"/>
      <c r="L21" s="64"/>
      <c r="M21" s="57" t="s">
        <v>46</v>
      </c>
      <c r="N21" s="58"/>
      <c r="O21" s="58"/>
      <c r="P21" s="62"/>
    </row>
    <row r="22" spans="2:16" ht="32.25" customHeight="1">
      <c r="B22" s="63">
        <v>11</v>
      </c>
      <c r="C22" s="117" t="s">
        <v>798</v>
      </c>
      <c r="D22" s="93"/>
      <c r="E22" s="93"/>
      <c r="F22" s="93"/>
      <c r="G22" s="93"/>
      <c r="H22" s="93"/>
      <c r="I22" s="93"/>
      <c r="J22" s="93"/>
      <c r="K22" s="94"/>
      <c r="L22" s="46"/>
      <c r="M22" s="57" t="s">
        <v>46</v>
      </c>
      <c r="N22" s="58"/>
      <c r="O22" s="58"/>
      <c r="P22" s="59"/>
    </row>
    <row r="23" spans="2:16" ht="32.25" customHeight="1">
      <c r="B23" s="41">
        <v>12</v>
      </c>
      <c r="C23" s="117" t="s">
        <v>799</v>
      </c>
      <c r="D23" s="93"/>
      <c r="E23" s="93"/>
      <c r="F23" s="93"/>
      <c r="G23" s="93"/>
      <c r="H23" s="93"/>
      <c r="I23" s="93"/>
      <c r="J23" s="93"/>
      <c r="K23" s="94"/>
      <c r="L23" s="46"/>
      <c r="M23" s="57" t="s">
        <v>46</v>
      </c>
      <c r="N23" s="58"/>
      <c r="O23" s="58"/>
      <c r="P23" s="59"/>
    </row>
    <row r="24" spans="2:16" ht="32.25" customHeight="1">
      <c r="B24" s="63">
        <v>13</v>
      </c>
      <c r="C24" s="117" t="s">
        <v>805</v>
      </c>
      <c r="D24" s="93"/>
      <c r="E24" s="93"/>
      <c r="F24" s="93"/>
      <c r="G24" s="93"/>
      <c r="H24" s="93"/>
      <c r="I24" s="93"/>
      <c r="J24" s="93"/>
      <c r="K24" s="94"/>
      <c r="L24" s="46"/>
      <c r="M24" s="57" t="s">
        <v>46</v>
      </c>
      <c r="N24" s="58"/>
      <c r="O24" s="58"/>
      <c r="P24" s="59"/>
    </row>
    <row r="25" spans="2:16" ht="32.25" customHeight="1">
      <c r="B25" s="63">
        <v>14</v>
      </c>
      <c r="C25" s="117"/>
      <c r="D25" s="93"/>
      <c r="E25" s="93"/>
      <c r="F25" s="93"/>
      <c r="G25" s="93"/>
      <c r="H25" s="93"/>
      <c r="I25" s="93"/>
      <c r="J25" s="93"/>
      <c r="K25" s="94"/>
      <c r="L25" s="46"/>
      <c r="M25" s="57"/>
      <c r="N25" s="58"/>
      <c r="O25" s="58"/>
      <c r="P25" s="59"/>
    </row>
    <row r="26" spans="2:16" ht="32.25" customHeight="1">
      <c r="B26" s="41">
        <v>15</v>
      </c>
      <c r="C26" s="117"/>
      <c r="D26" s="93"/>
      <c r="E26" s="93"/>
      <c r="F26" s="93"/>
      <c r="G26" s="93"/>
      <c r="H26" s="93"/>
      <c r="I26" s="93"/>
      <c r="J26" s="93"/>
      <c r="K26" s="94"/>
      <c r="L26" s="46"/>
      <c r="M26" s="57"/>
      <c r="N26" s="58"/>
      <c r="O26" s="58"/>
      <c r="P26" s="59"/>
    </row>
    <row r="27" spans="2:16" ht="33" customHeight="1">
      <c r="B27" s="63">
        <v>16</v>
      </c>
      <c r="C27" s="117"/>
      <c r="D27" s="93"/>
      <c r="E27" s="93"/>
      <c r="F27" s="93"/>
      <c r="G27" s="93"/>
      <c r="H27" s="93"/>
      <c r="I27" s="93"/>
      <c r="J27" s="93"/>
      <c r="K27" s="94"/>
      <c r="L27" s="46"/>
      <c r="M27" s="57"/>
      <c r="N27" s="58"/>
      <c r="O27" s="58"/>
      <c r="P27" s="59"/>
    </row>
    <row r="28" spans="2:16" ht="32.25" customHeight="1">
      <c r="B28" s="63">
        <v>17</v>
      </c>
      <c r="C28" s="117"/>
      <c r="D28" s="93"/>
      <c r="E28" s="93"/>
      <c r="F28" s="93"/>
      <c r="G28" s="93"/>
      <c r="H28" s="93"/>
      <c r="I28" s="93"/>
      <c r="J28" s="93"/>
      <c r="K28" s="94"/>
      <c r="L28" s="46"/>
      <c r="M28" s="57"/>
      <c r="N28" s="58"/>
      <c r="O28" s="58"/>
      <c r="P28" s="59"/>
    </row>
    <row r="29" spans="2:16" ht="32.25" customHeight="1">
      <c r="B29" s="41">
        <v>18</v>
      </c>
      <c r="C29" s="117"/>
      <c r="D29" s="93"/>
      <c r="E29" s="93"/>
      <c r="F29" s="93"/>
      <c r="G29" s="93"/>
      <c r="H29" s="93"/>
      <c r="I29" s="93"/>
      <c r="J29" s="93"/>
      <c r="K29" s="94"/>
      <c r="L29" s="46"/>
      <c r="M29" s="57"/>
      <c r="N29" s="58"/>
      <c r="O29" s="58"/>
      <c r="P29" s="59"/>
    </row>
    <row r="30" spans="2:16" ht="32.25" customHeight="1">
      <c r="B30" s="63">
        <v>19</v>
      </c>
      <c r="C30" s="117"/>
      <c r="D30" s="93"/>
      <c r="E30" s="93"/>
      <c r="F30" s="93"/>
      <c r="G30" s="93"/>
      <c r="H30" s="93"/>
      <c r="I30" s="93"/>
      <c r="J30" s="93"/>
      <c r="K30" s="94"/>
      <c r="L30" s="46"/>
      <c r="M30" s="57"/>
      <c r="N30" s="58"/>
      <c r="O30" s="58"/>
      <c r="P30" s="59"/>
    </row>
    <row r="31" spans="2:16" ht="33.75" customHeight="1">
      <c r="B31" s="63">
        <v>20</v>
      </c>
      <c r="C31" s="117"/>
      <c r="D31" s="93"/>
      <c r="E31" s="93"/>
      <c r="F31" s="93"/>
      <c r="G31" s="93"/>
      <c r="H31" s="93"/>
      <c r="I31" s="93"/>
      <c r="J31" s="93"/>
      <c r="K31" s="94"/>
      <c r="L31" s="46"/>
      <c r="M31" s="57"/>
      <c r="N31" s="58"/>
      <c r="O31" s="58"/>
      <c r="P31" s="59"/>
    </row>
    <row r="32" spans="2:16" ht="14.25" customHeight="1"/>
    <row r="33" spans="2:18" ht="14.25" customHeight="1"/>
    <row r="34" spans="2:18" ht="14.25" customHeight="1">
      <c r="B34" s="35"/>
      <c r="C34" s="125" t="s">
        <v>441</v>
      </c>
      <c r="D34" s="99"/>
      <c r="E34" s="99"/>
      <c r="F34" s="99"/>
      <c r="G34" s="99"/>
      <c r="H34" s="99"/>
      <c r="I34" s="99"/>
      <c r="J34" s="100"/>
      <c r="K34" s="36"/>
    </row>
    <row r="35" spans="2:18" ht="14.25" customHeight="1"/>
    <row r="36" spans="2:18" ht="14.25" customHeight="1">
      <c r="B36" s="40"/>
      <c r="C36" s="120"/>
      <c r="D36" s="109"/>
      <c r="E36" s="110"/>
      <c r="F36" s="36"/>
      <c r="G36" s="36"/>
      <c r="H36" s="36"/>
      <c r="I36" s="36"/>
      <c r="J36" s="36"/>
      <c r="K36" s="36"/>
    </row>
    <row r="37" spans="2:18" ht="32.25" customHeight="1">
      <c r="B37" s="41">
        <v>1</v>
      </c>
      <c r="C37" s="117"/>
      <c r="D37" s="93"/>
      <c r="E37" s="93"/>
      <c r="F37" s="93"/>
      <c r="G37" s="93"/>
      <c r="H37" s="93"/>
      <c r="I37" s="93"/>
      <c r="J37" s="93"/>
      <c r="K37" s="94"/>
      <c r="L37" s="42"/>
      <c r="M37" s="57"/>
      <c r="N37" s="58"/>
      <c r="O37" s="58"/>
      <c r="P37" s="59"/>
    </row>
    <row r="38" spans="2:18" ht="32.25" customHeight="1">
      <c r="B38" s="35">
        <v>2</v>
      </c>
      <c r="C38" s="117"/>
      <c r="D38" s="93"/>
      <c r="E38" s="93"/>
      <c r="F38" s="93"/>
      <c r="G38" s="93"/>
      <c r="H38" s="93"/>
      <c r="I38" s="93"/>
      <c r="J38" s="93"/>
      <c r="K38" s="94"/>
      <c r="L38" s="44"/>
      <c r="M38" s="57"/>
      <c r="N38" s="58"/>
      <c r="O38" s="58"/>
      <c r="P38" s="59"/>
    </row>
    <row r="39" spans="2:18" ht="32.25" customHeight="1">
      <c r="B39" s="41">
        <v>3</v>
      </c>
      <c r="C39" s="117"/>
      <c r="D39" s="93"/>
      <c r="E39" s="93"/>
      <c r="F39" s="93"/>
      <c r="G39" s="93"/>
      <c r="H39" s="93"/>
      <c r="I39" s="93"/>
      <c r="J39" s="93"/>
      <c r="K39" s="94"/>
      <c r="M39" s="57"/>
      <c r="N39" s="58"/>
      <c r="O39" s="58"/>
      <c r="P39" s="59"/>
    </row>
    <row r="40" spans="2:18" ht="32.25" customHeight="1">
      <c r="B40" s="41">
        <v>4</v>
      </c>
      <c r="C40" s="117"/>
      <c r="D40" s="93"/>
      <c r="E40" s="93"/>
      <c r="F40" s="93"/>
      <c r="G40" s="93"/>
      <c r="H40" s="93"/>
      <c r="I40" s="93"/>
      <c r="J40" s="93"/>
      <c r="K40" s="94"/>
      <c r="M40" s="57"/>
      <c r="N40" s="58"/>
      <c r="O40" s="58"/>
      <c r="P40" s="59"/>
    </row>
    <row r="41" spans="2:18" ht="32.25" customHeight="1">
      <c r="B41" s="35">
        <v>5</v>
      </c>
      <c r="C41" s="117"/>
      <c r="D41" s="93"/>
      <c r="E41" s="93"/>
      <c r="F41" s="93"/>
      <c r="G41" s="93"/>
      <c r="H41" s="93"/>
      <c r="I41" s="93"/>
      <c r="J41" s="93"/>
      <c r="K41" s="94"/>
      <c r="L41" s="42"/>
      <c r="M41" s="57"/>
      <c r="N41" s="58"/>
      <c r="O41" s="58"/>
      <c r="P41" s="59"/>
    </row>
    <row r="42" spans="2:18" ht="32.25" customHeight="1">
      <c r="B42" s="41">
        <v>6</v>
      </c>
      <c r="C42" s="117"/>
      <c r="D42" s="93"/>
      <c r="E42" s="93"/>
      <c r="F42" s="93"/>
      <c r="G42" s="93"/>
      <c r="H42" s="93"/>
      <c r="I42" s="93"/>
      <c r="J42" s="93"/>
      <c r="K42" s="94"/>
      <c r="L42" s="46"/>
      <c r="M42" s="57"/>
      <c r="N42" s="58"/>
      <c r="O42" s="58"/>
      <c r="P42" s="59"/>
      <c r="R42" s="47"/>
    </row>
    <row r="43" spans="2:18" ht="32.25" customHeight="1">
      <c r="B43" s="41">
        <v>7</v>
      </c>
      <c r="C43" s="117"/>
      <c r="D43" s="93"/>
      <c r="E43" s="93"/>
      <c r="F43" s="93"/>
      <c r="G43" s="93"/>
      <c r="H43" s="93"/>
      <c r="I43" s="93"/>
      <c r="J43" s="93"/>
      <c r="K43" s="94"/>
      <c r="L43" s="46"/>
      <c r="M43" s="57"/>
      <c r="N43" s="58"/>
      <c r="O43" s="58"/>
      <c r="P43" s="59"/>
    </row>
    <row r="44" spans="2:18" ht="32.25" customHeight="1">
      <c r="B44" s="35">
        <v>8</v>
      </c>
      <c r="C44" s="117"/>
      <c r="D44" s="93"/>
      <c r="E44" s="93"/>
      <c r="F44" s="93"/>
      <c r="G44" s="93"/>
      <c r="H44" s="93"/>
      <c r="I44" s="93"/>
      <c r="J44" s="93"/>
      <c r="K44" s="94"/>
      <c r="L44" s="46"/>
      <c r="M44" s="57"/>
      <c r="N44" s="58"/>
      <c r="O44" s="58"/>
      <c r="P44" s="59"/>
      <c r="R44" s="47"/>
    </row>
    <row r="45" spans="2:18" ht="32.25" customHeight="1">
      <c r="B45" s="41">
        <v>9</v>
      </c>
      <c r="C45" s="117"/>
      <c r="D45" s="93"/>
      <c r="E45" s="93"/>
      <c r="F45" s="93"/>
      <c r="G45" s="93"/>
      <c r="H45" s="93"/>
      <c r="I45" s="93"/>
      <c r="J45" s="93"/>
      <c r="K45" s="94"/>
      <c r="L45" s="46"/>
      <c r="M45" s="57"/>
      <c r="N45" s="58"/>
      <c r="O45" s="58"/>
      <c r="P45" s="59"/>
      <c r="R45" s="47"/>
    </row>
    <row r="46" spans="2:18" ht="32.25" customHeight="1">
      <c r="B46" s="41">
        <v>10</v>
      </c>
      <c r="C46" s="117"/>
      <c r="D46" s="93"/>
      <c r="E46" s="93"/>
      <c r="F46" s="93"/>
      <c r="G46" s="93"/>
      <c r="H46" s="93"/>
      <c r="I46" s="93"/>
      <c r="J46" s="93"/>
      <c r="K46" s="94"/>
      <c r="L46" s="46"/>
      <c r="M46" s="57"/>
      <c r="N46" s="58"/>
      <c r="O46" s="58"/>
      <c r="P46" s="59"/>
    </row>
    <row r="47" spans="2:18" ht="32.25" customHeight="1">
      <c r="B47" s="35">
        <v>11</v>
      </c>
      <c r="C47" s="117"/>
      <c r="D47" s="93"/>
      <c r="E47" s="93"/>
      <c r="F47" s="93"/>
      <c r="G47" s="93"/>
      <c r="H47" s="93"/>
      <c r="I47" s="93"/>
      <c r="J47" s="93"/>
      <c r="K47" s="94"/>
      <c r="L47" s="46"/>
      <c r="M47" s="57"/>
      <c r="N47" s="58"/>
      <c r="O47" s="58"/>
      <c r="P47" s="59"/>
    </row>
    <row r="48" spans="2:18" ht="32.25" customHeight="1">
      <c r="B48" s="41">
        <v>12</v>
      </c>
      <c r="C48" s="117"/>
      <c r="D48" s="93"/>
      <c r="E48" s="93"/>
      <c r="F48" s="93"/>
      <c r="G48" s="93"/>
      <c r="H48" s="93"/>
      <c r="I48" s="93"/>
      <c r="J48" s="93"/>
      <c r="K48" s="94"/>
      <c r="L48" s="44"/>
      <c r="M48" s="57"/>
      <c r="N48" s="58"/>
      <c r="O48" s="58"/>
      <c r="P48" s="59"/>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mergeCells count="42">
    <mergeCell ref="P8:P9"/>
    <mergeCell ref="C9:J9"/>
    <mergeCell ref="C2:G2"/>
    <mergeCell ref="C3:G3"/>
    <mergeCell ref="C4:G4"/>
    <mergeCell ref="B5:C5"/>
    <mergeCell ref="M8:O8"/>
    <mergeCell ref="C23:K23"/>
    <mergeCell ref="C11:E11"/>
    <mergeCell ref="C12:K12"/>
    <mergeCell ref="C13:K13"/>
    <mergeCell ref="C14:K14"/>
    <mergeCell ref="C15:K15"/>
    <mergeCell ref="C16:K16"/>
    <mergeCell ref="C17:K17"/>
    <mergeCell ref="C19:K19"/>
    <mergeCell ref="C20:K20"/>
    <mergeCell ref="C22:K22"/>
    <mergeCell ref="C37:K37"/>
    <mergeCell ref="C38:K38"/>
    <mergeCell ref="C24:K24"/>
    <mergeCell ref="C25:K25"/>
    <mergeCell ref="C26:K26"/>
    <mergeCell ref="C27:K27"/>
    <mergeCell ref="C28:K28"/>
    <mergeCell ref="C29:K29"/>
    <mergeCell ref="C45:K45"/>
    <mergeCell ref="C46:K46"/>
    <mergeCell ref="C47:K47"/>
    <mergeCell ref="C48:K48"/>
    <mergeCell ref="C18:K18"/>
    <mergeCell ref="C21:K21"/>
    <mergeCell ref="C39:K39"/>
    <mergeCell ref="C40:K40"/>
    <mergeCell ref="C41:K41"/>
    <mergeCell ref="C42:K42"/>
    <mergeCell ref="C43:K43"/>
    <mergeCell ref="C44:K44"/>
    <mergeCell ref="C30:K30"/>
    <mergeCell ref="C31:K31"/>
    <mergeCell ref="C34:J34"/>
    <mergeCell ref="C36:E36"/>
  </mergeCells>
  <hyperlinks>
    <hyperlink ref="V2" location="'REQ. FUN. GEN'!A1" display="Volver" xr:uid="{323F5F64-4C82-4F46-83EF-B544C31716B7}"/>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4A66B-A5CF-4F1B-891D-B9774327E4BC}">
  <dimension ref="B1:V1017"/>
  <sheetViews>
    <sheetView topLeftCell="A15" workbookViewId="0">
      <selection activeCell="C39" sqref="C39:K39"/>
    </sheetView>
  </sheetViews>
  <sheetFormatPr baseColWidth="10" defaultColWidth="12.5703125" defaultRowHeight="15" customHeight="1"/>
  <cols>
    <col min="1" max="1" width="10.5703125" customWidth="1"/>
    <col min="2" max="2" width="4.42578125" customWidth="1"/>
    <col min="3" max="3" width="12.5703125" customWidth="1"/>
    <col min="4" max="9" width="10.5703125" customWidth="1"/>
    <col min="10" max="10" width="12.28515625" customWidth="1"/>
    <col min="11"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78"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25" t="s">
        <v>787</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2.25" customHeight="1">
      <c r="B12" s="41">
        <v>1</v>
      </c>
      <c r="C12" s="134" t="s">
        <v>928</v>
      </c>
      <c r="D12" s="93"/>
      <c r="E12" s="93"/>
      <c r="F12" s="93"/>
      <c r="G12" s="93"/>
      <c r="H12" s="93"/>
      <c r="I12" s="93"/>
      <c r="J12" s="93"/>
      <c r="K12" s="94"/>
      <c r="L12" s="42"/>
      <c r="M12" s="68" t="s">
        <v>46</v>
      </c>
      <c r="N12" s="58"/>
      <c r="O12" s="58"/>
      <c r="P12" s="59"/>
    </row>
    <row r="13" spans="2:22" ht="32.25" customHeight="1">
      <c r="B13" s="63">
        <v>2</v>
      </c>
      <c r="C13" s="134" t="s">
        <v>929</v>
      </c>
      <c r="D13" s="93"/>
      <c r="E13" s="93"/>
      <c r="F13" s="93"/>
      <c r="G13" s="93"/>
      <c r="H13" s="93"/>
      <c r="I13" s="93"/>
      <c r="J13" s="93"/>
      <c r="K13" s="94"/>
      <c r="L13" s="64"/>
      <c r="M13" s="68" t="s">
        <v>46</v>
      </c>
      <c r="N13" s="58"/>
      <c r="O13" s="58"/>
      <c r="P13" s="62"/>
    </row>
    <row r="14" spans="2:22" ht="32.25" customHeight="1">
      <c r="B14" s="63">
        <v>3</v>
      </c>
      <c r="C14" s="134" t="s">
        <v>930</v>
      </c>
      <c r="D14" s="93"/>
      <c r="E14" s="93"/>
      <c r="F14" s="93"/>
      <c r="G14" s="93"/>
      <c r="H14" s="93"/>
      <c r="I14" s="93"/>
      <c r="J14" s="93"/>
      <c r="K14" s="94"/>
      <c r="L14" s="64"/>
      <c r="M14" s="68" t="s">
        <v>46</v>
      </c>
      <c r="N14" s="58"/>
      <c r="O14" s="58"/>
      <c r="P14" s="62"/>
    </row>
    <row r="15" spans="2:22" ht="32.25" customHeight="1">
      <c r="B15" s="41">
        <v>4</v>
      </c>
      <c r="C15" s="134" t="s">
        <v>931</v>
      </c>
      <c r="D15" s="93"/>
      <c r="E15" s="93"/>
      <c r="F15" s="93"/>
      <c r="G15" s="93"/>
      <c r="H15" s="93"/>
      <c r="I15" s="93"/>
      <c r="J15" s="93"/>
      <c r="K15" s="94"/>
      <c r="L15" s="64"/>
      <c r="M15" s="68" t="s">
        <v>46</v>
      </c>
      <c r="N15" s="58"/>
      <c r="O15" s="58"/>
      <c r="P15" s="62"/>
    </row>
    <row r="16" spans="2:22" ht="32.25" customHeight="1">
      <c r="B16" s="63">
        <v>5</v>
      </c>
      <c r="C16" s="134" t="s">
        <v>932</v>
      </c>
      <c r="D16" s="93"/>
      <c r="E16" s="93"/>
      <c r="F16" s="93"/>
      <c r="G16" s="93"/>
      <c r="H16" s="93"/>
      <c r="I16" s="93"/>
      <c r="J16" s="93"/>
      <c r="K16" s="94"/>
      <c r="L16" s="64"/>
      <c r="M16" s="68" t="s">
        <v>46</v>
      </c>
      <c r="N16" s="58"/>
      <c r="O16" s="58"/>
      <c r="P16" s="62"/>
    </row>
    <row r="17" spans="2:16" ht="51" customHeight="1">
      <c r="B17" s="63">
        <v>6</v>
      </c>
      <c r="C17" s="134" t="s">
        <v>933</v>
      </c>
      <c r="D17" s="93"/>
      <c r="E17" s="93"/>
      <c r="F17" s="93"/>
      <c r="G17" s="93"/>
      <c r="H17" s="93"/>
      <c r="I17" s="93"/>
      <c r="J17" s="93"/>
      <c r="K17" s="94"/>
      <c r="L17" s="64"/>
      <c r="M17" s="68" t="s">
        <v>46</v>
      </c>
      <c r="N17" s="58"/>
      <c r="O17" s="58"/>
      <c r="P17" s="62"/>
    </row>
    <row r="18" spans="2:16" ht="38.25" customHeight="1">
      <c r="B18" s="41">
        <v>7</v>
      </c>
      <c r="C18" s="134" t="s">
        <v>941</v>
      </c>
      <c r="D18" s="93"/>
      <c r="E18" s="93"/>
      <c r="F18" s="93"/>
      <c r="G18" s="93"/>
      <c r="H18" s="93"/>
      <c r="I18" s="93"/>
      <c r="J18" s="93"/>
      <c r="K18" s="94"/>
      <c r="L18" s="64"/>
      <c r="M18" s="68" t="s">
        <v>46</v>
      </c>
      <c r="N18" s="58"/>
      <c r="O18" s="58"/>
      <c r="P18" s="62"/>
    </row>
    <row r="19" spans="2:16" ht="32.25" customHeight="1">
      <c r="B19" s="63">
        <v>8</v>
      </c>
      <c r="C19" s="134" t="s">
        <v>942</v>
      </c>
      <c r="D19" s="93"/>
      <c r="E19" s="93"/>
      <c r="F19" s="93"/>
      <c r="G19" s="93"/>
      <c r="H19" s="93"/>
      <c r="I19" s="93"/>
      <c r="J19" s="93"/>
      <c r="K19" s="94"/>
      <c r="L19" s="64"/>
      <c r="M19" s="68" t="s">
        <v>46</v>
      </c>
      <c r="N19" s="58"/>
      <c r="O19" s="58"/>
      <c r="P19" s="62"/>
    </row>
    <row r="20" spans="2:16" ht="32.25" customHeight="1">
      <c r="B20" s="63">
        <v>9</v>
      </c>
      <c r="C20" s="134" t="s">
        <v>944</v>
      </c>
      <c r="D20" s="93"/>
      <c r="E20" s="93"/>
      <c r="F20" s="93"/>
      <c r="G20" s="93"/>
      <c r="H20" s="93"/>
      <c r="I20" s="93"/>
      <c r="J20" s="93"/>
      <c r="K20" s="94"/>
      <c r="L20" s="64"/>
      <c r="M20" s="68" t="s">
        <v>46</v>
      </c>
      <c r="N20" s="58"/>
      <c r="O20" s="58"/>
      <c r="P20" s="62"/>
    </row>
    <row r="21" spans="2:16" ht="32.25" customHeight="1">
      <c r="B21" s="41">
        <v>10</v>
      </c>
      <c r="C21" s="134" t="s">
        <v>945</v>
      </c>
      <c r="D21" s="93"/>
      <c r="E21" s="93"/>
      <c r="F21" s="93"/>
      <c r="G21" s="93"/>
      <c r="H21" s="93"/>
      <c r="I21" s="93"/>
      <c r="J21" s="93"/>
      <c r="K21" s="94"/>
      <c r="L21" s="46"/>
      <c r="M21" s="68" t="s">
        <v>46</v>
      </c>
      <c r="N21" s="58"/>
      <c r="O21" s="58"/>
      <c r="P21" s="59"/>
    </row>
    <row r="22" spans="2:16" ht="55.5" customHeight="1">
      <c r="B22" s="63">
        <v>11</v>
      </c>
      <c r="C22" s="134" t="s">
        <v>952</v>
      </c>
      <c r="D22" s="93"/>
      <c r="E22" s="93"/>
      <c r="F22" s="93"/>
      <c r="G22" s="93"/>
      <c r="H22" s="93"/>
      <c r="I22" s="93"/>
      <c r="J22" s="93"/>
      <c r="K22" s="94"/>
      <c r="L22" s="46"/>
      <c r="M22" s="68" t="s">
        <v>46</v>
      </c>
      <c r="N22" s="58"/>
      <c r="O22" s="58"/>
      <c r="P22" s="62"/>
    </row>
    <row r="23" spans="2:16" ht="51" customHeight="1">
      <c r="B23" s="63">
        <v>12</v>
      </c>
      <c r="C23" s="134" t="s">
        <v>951</v>
      </c>
      <c r="D23" s="93"/>
      <c r="E23" s="93"/>
      <c r="F23" s="93"/>
      <c r="G23" s="93"/>
      <c r="H23" s="93"/>
      <c r="I23" s="93"/>
      <c r="J23" s="93"/>
      <c r="K23" s="94"/>
      <c r="L23" s="46"/>
      <c r="M23" s="68" t="s">
        <v>46</v>
      </c>
      <c r="N23" s="58"/>
      <c r="O23" s="58"/>
      <c r="P23" s="62"/>
    </row>
    <row r="24" spans="2:16" ht="47.25" customHeight="1">
      <c r="B24" s="41">
        <v>13</v>
      </c>
      <c r="C24" s="134" t="s">
        <v>953</v>
      </c>
      <c r="D24" s="93"/>
      <c r="E24" s="93"/>
      <c r="F24" s="93"/>
      <c r="G24" s="93"/>
      <c r="H24" s="93"/>
      <c r="I24" s="93"/>
      <c r="J24" s="93"/>
      <c r="K24" s="94"/>
      <c r="L24" s="46"/>
      <c r="M24" s="68" t="s">
        <v>46</v>
      </c>
      <c r="N24" s="58"/>
      <c r="O24" s="58"/>
      <c r="P24" s="62"/>
    </row>
    <row r="25" spans="2:16" ht="48" customHeight="1">
      <c r="B25" s="63">
        <v>14</v>
      </c>
      <c r="C25" s="134" t="s">
        <v>954</v>
      </c>
      <c r="D25" s="93"/>
      <c r="E25" s="93"/>
      <c r="F25" s="93"/>
      <c r="G25" s="93"/>
      <c r="H25" s="93"/>
      <c r="I25" s="93"/>
      <c r="J25" s="93"/>
      <c r="K25" s="94"/>
      <c r="L25" s="46"/>
      <c r="M25" s="68" t="s">
        <v>46</v>
      </c>
      <c r="N25" s="58"/>
      <c r="O25" s="58"/>
      <c r="P25" s="62"/>
    </row>
    <row r="26" spans="2:16" ht="32.25" customHeight="1">
      <c r="B26" s="63">
        <v>15</v>
      </c>
      <c r="C26" s="134" t="s">
        <v>943</v>
      </c>
      <c r="D26" s="93"/>
      <c r="E26" s="93"/>
      <c r="F26" s="93"/>
      <c r="G26" s="93"/>
      <c r="H26" s="93"/>
      <c r="I26" s="93"/>
      <c r="J26" s="93"/>
      <c r="K26" s="94"/>
      <c r="L26" s="46"/>
      <c r="M26" s="68" t="s">
        <v>46</v>
      </c>
      <c r="N26" s="58"/>
      <c r="O26" s="58"/>
      <c r="P26" s="62"/>
    </row>
    <row r="27" spans="2:16" ht="32.25" customHeight="1">
      <c r="B27" s="41">
        <v>16</v>
      </c>
      <c r="C27" s="134" t="s">
        <v>946</v>
      </c>
      <c r="D27" s="93"/>
      <c r="E27" s="93"/>
      <c r="F27" s="93"/>
      <c r="G27" s="93"/>
      <c r="H27" s="93"/>
      <c r="I27" s="93"/>
      <c r="J27" s="93"/>
      <c r="K27" s="94"/>
      <c r="L27" s="46"/>
      <c r="M27" s="68" t="s">
        <v>46</v>
      </c>
      <c r="N27" s="58"/>
      <c r="O27" s="58"/>
      <c r="P27" s="62"/>
    </row>
    <row r="28" spans="2:16" ht="32.25" customHeight="1">
      <c r="B28" s="63">
        <v>17</v>
      </c>
      <c r="C28" s="134" t="s">
        <v>947</v>
      </c>
      <c r="D28" s="93"/>
      <c r="E28" s="93"/>
      <c r="F28" s="93"/>
      <c r="G28" s="93"/>
      <c r="H28" s="93"/>
      <c r="I28" s="93"/>
      <c r="J28" s="93"/>
      <c r="K28" s="94"/>
      <c r="L28" s="46"/>
      <c r="M28" s="68" t="s">
        <v>46</v>
      </c>
      <c r="N28" s="58"/>
      <c r="O28" s="58"/>
      <c r="P28" s="62"/>
    </row>
    <row r="29" spans="2:16" ht="32.25" customHeight="1">
      <c r="B29" s="63">
        <v>18</v>
      </c>
      <c r="C29" s="134" t="s">
        <v>948</v>
      </c>
      <c r="D29" s="93"/>
      <c r="E29" s="93"/>
      <c r="F29" s="93"/>
      <c r="G29" s="93"/>
      <c r="H29" s="93"/>
      <c r="I29" s="93"/>
      <c r="J29" s="93"/>
      <c r="K29" s="94"/>
      <c r="L29" s="46"/>
      <c r="M29" s="68" t="s">
        <v>46</v>
      </c>
      <c r="N29" s="58"/>
      <c r="O29" s="58"/>
      <c r="P29" s="62"/>
    </row>
    <row r="30" spans="2:16" ht="32.25" customHeight="1">
      <c r="B30" s="41">
        <v>19</v>
      </c>
      <c r="C30" s="134" t="s">
        <v>949</v>
      </c>
      <c r="D30" s="93"/>
      <c r="E30" s="93"/>
      <c r="F30" s="93"/>
      <c r="G30" s="93"/>
      <c r="H30" s="93"/>
      <c r="I30" s="93"/>
      <c r="J30" s="93"/>
      <c r="K30" s="94"/>
      <c r="L30" s="46"/>
      <c r="M30" s="68" t="s">
        <v>46</v>
      </c>
      <c r="N30" s="58"/>
      <c r="O30" s="58"/>
      <c r="P30" s="62"/>
    </row>
    <row r="31" spans="2:16" ht="32.25" customHeight="1">
      <c r="B31" s="63">
        <v>20</v>
      </c>
      <c r="C31" s="134" t="s">
        <v>950</v>
      </c>
      <c r="D31" s="93"/>
      <c r="E31" s="93"/>
      <c r="F31" s="93"/>
      <c r="G31" s="93"/>
      <c r="H31" s="93"/>
      <c r="I31" s="93"/>
      <c r="J31" s="93"/>
      <c r="K31" s="94"/>
      <c r="L31" s="46"/>
      <c r="M31" s="68" t="s">
        <v>46</v>
      </c>
      <c r="N31" s="58"/>
      <c r="O31" s="58"/>
      <c r="P31" s="62"/>
    </row>
    <row r="32" spans="2:16" ht="32.25" customHeight="1">
      <c r="B32" s="63">
        <v>21</v>
      </c>
      <c r="C32" s="134" t="s">
        <v>934</v>
      </c>
      <c r="D32" s="93"/>
      <c r="E32" s="93"/>
      <c r="F32" s="93"/>
      <c r="G32" s="93"/>
      <c r="H32" s="93"/>
      <c r="I32" s="93"/>
      <c r="J32" s="93"/>
      <c r="K32" s="94"/>
      <c r="L32" s="46"/>
      <c r="M32" s="68" t="s">
        <v>46</v>
      </c>
      <c r="N32" s="58"/>
      <c r="O32" s="58"/>
      <c r="P32" s="59"/>
    </row>
    <row r="33" spans="2:16" ht="32.25" customHeight="1">
      <c r="B33" s="41">
        <v>22</v>
      </c>
      <c r="C33" s="134" t="s">
        <v>935</v>
      </c>
      <c r="D33" s="93"/>
      <c r="E33" s="93"/>
      <c r="F33" s="93"/>
      <c r="G33" s="93"/>
      <c r="H33" s="93"/>
      <c r="I33" s="93"/>
      <c r="J33" s="93"/>
      <c r="K33" s="94"/>
      <c r="L33" s="46"/>
      <c r="M33" s="68" t="s">
        <v>46</v>
      </c>
      <c r="N33" s="58"/>
      <c r="O33" s="58"/>
      <c r="P33" s="59"/>
    </row>
    <row r="34" spans="2:16" ht="32.25" customHeight="1">
      <c r="B34" s="63">
        <v>23</v>
      </c>
      <c r="C34" s="134" t="s">
        <v>936</v>
      </c>
      <c r="D34" s="93"/>
      <c r="E34" s="93"/>
      <c r="F34" s="93"/>
      <c r="G34" s="93"/>
      <c r="H34" s="93"/>
      <c r="I34" s="93"/>
      <c r="J34" s="93"/>
      <c r="K34" s="94"/>
      <c r="L34" s="46"/>
      <c r="M34" s="68" t="s">
        <v>46</v>
      </c>
      <c r="N34" s="58"/>
      <c r="O34" s="58"/>
      <c r="P34" s="59"/>
    </row>
    <row r="35" spans="2:16" ht="32.25" customHeight="1">
      <c r="B35" s="63">
        <v>24</v>
      </c>
      <c r="C35" s="134" t="s">
        <v>937</v>
      </c>
      <c r="D35" s="93"/>
      <c r="E35" s="93"/>
      <c r="F35" s="93"/>
      <c r="G35" s="93"/>
      <c r="H35" s="93"/>
      <c r="I35" s="93"/>
      <c r="J35" s="93"/>
      <c r="K35" s="94"/>
      <c r="L35" s="46"/>
      <c r="M35" s="68" t="s">
        <v>46</v>
      </c>
      <c r="N35" s="58"/>
      <c r="O35" s="58"/>
      <c r="P35" s="59"/>
    </row>
    <row r="36" spans="2:16" ht="33" customHeight="1">
      <c r="B36" s="41">
        <v>25</v>
      </c>
      <c r="C36" s="134" t="s">
        <v>938</v>
      </c>
      <c r="D36" s="93"/>
      <c r="E36" s="93"/>
      <c r="F36" s="93"/>
      <c r="G36" s="93"/>
      <c r="H36" s="93"/>
      <c r="I36" s="93"/>
      <c r="J36" s="93"/>
      <c r="K36" s="94"/>
      <c r="L36" s="46"/>
      <c r="M36" s="68" t="s">
        <v>46</v>
      </c>
      <c r="N36" s="58"/>
      <c r="O36" s="58"/>
      <c r="P36" s="59"/>
    </row>
    <row r="37" spans="2:16" ht="32.25" customHeight="1">
      <c r="B37" s="63">
        <v>26</v>
      </c>
      <c r="C37" s="134" t="s">
        <v>939</v>
      </c>
      <c r="D37" s="93"/>
      <c r="E37" s="93"/>
      <c r="F37" s="93"/>
      <c r="G37" s="93"/>
      <c r="H37" s="93"/>
      <c r="I37" s="93"/>
      <c r="J37" s="93"/>
      <c r="K37" s="94"/>
      <c r="L37" s="46"/>
      <c r="M37" s="68" t="s">
        <v>46</v>
      </c>
      <c r="N37" s="58"/>
      <c r="O37" s="58"/>
      <c r="P37" s="59"/>
    </row>
    <row r="38" spans="2:16" ht="32.25" customHeight="1">
      <c r="B38" s="63">
        <v>27</v>
      </c>
      <c r="C38" s="134" t="s">
        <v>940</v>
      </c>
      <c r="D38" s="93"/>
      <c r="E38" s="93"/>
      <c r="F38" s="93"/>
      <c r="G38" s="93"/>
      <c r="H38" s="93"/>
      <c r="I38" s="93"/>
      <c r="J38" s="93"/>
      <c r="K38" s="94"/>
      <c r="L38" s="46"/>
      <c r="M38" s="68" t="s">
        <v>46</v>
      </c>
      <c r="N38" s="58"/>
      <c r="O38" s="58"/>
      <c r="P38" s="59"/>
    </row>
    <row r="39" spans="2:16" ht="32.25" customHeight="1">
      <c r="B39" s="41">
        <v>28</v>
      </c>
      <c r="C39" s="117"/>
      <c r="D39" s="93"/>
      <c r="E39" s="93"/>
      <c r="F39" s="93"/>
      <c r="G39" s="93"/>
      <c r="H39" s="93"/>
      <c r="I39" s="93"/>
      <c r="J39" s="93"/>
      <c r="K39" s="94"/>
      <c r="L39" s="46"/>
      <c r="M39" s="68"/>
      <c r="N39" s="58"/>
      <c r="O39" s="58"/>
      <c r="P39" s="59"/>
    </row>
    <row r="40" spans="2:16" ht="33.75" customHeight="1">
      <c r="B40" s="63">
        <v>29</v>
      </c>
      <c r="C40" s="117"/>
      <c r="D40" s="93"/>
      <c r="E40" s="93"/>
      <c r="F40" s="93"/>
      <c r="G40" s="93"/>
      <c r="H40" s="93"/>
      <c r="I40" s="93"/>
      <c r="J40" s="93"/>
      <c r="K40" s="94"/>
      <c r="L40" s="46"/>
      <c r="M40" s="68"/>
      <c r="N40" s="58"/>
      <c r="O40" s="58"/>
      <c r="P40" s="59"/>
    </row>
    <row r="41" spans="2:16" ht="14.25" customHeight="1"/>
    <row r="42" spans="2:16" ht="14.25" customHeight="1"/>
    <row r="43" spans="2:16" ht="14.25" customHeight="1">
      <c r="B43" s="35"/>
      <c r="C43" s="125" t="s">
        <v>441</v>
      </c>
      <c r="D43" s="99"/>
      <c r="E43" s="99"/>
      <c r="F43" s="99"/>
      <c r="G43" s="99"/>
      <c r="H43" s="99"/>
      <c r="I43" s="99"/>
      <c r="J43" s="100"/>
      <c r="K43" s="36"/>
    </row>
    <row r="44" spans="2:16" ht="14.25" customHeight="1"/>
    <row r="45" spans="2:16" ht="14.25" customHeight="1">
      <c r="B45" s="40"/>
      <c r="C45" s="120"/>
      <c r="D45" s="109"/>
      <c r="E45" s="110"/>
      <c r="F45" s="36"/>
      <c r="G45" s="36"/>
      <c r="H45" s="36"/>
      <c r="I45" s="36"/>
      <c r="J45" s="36"/>
      <c r="K45" s="36"/>
    </row>
    <row r="46" spans="2:16" ht="32.25" customHeight="1">
      <c r="B46" s="41">
        <v>1</v>
      </c>
      <c r="C46" s="117"/>
      <c r="D46" s="93"/>
      <c r="E46" s="93"/>
      <c r="F46" s="93"/>
      <c r="G46" s="93"/>
      <c r="H46" s="93"/>
      <c r="I46" s="93"/>
      <c r="J46" s="93"/>
      <c r="K46" s="94"/>
      <c r="L46" s="42"/>
      <c r="M46" s="57"/>
      <c r="N46" s="58"/>
      <c r="O46" s="58"/>
      <c r="P46" s="59"/>
    </row>
    <row r="47" spans="2:16" ht="32.25" customHeight="1">
      <c r="B47" s="35">
        <v>2</v>
      </c>
      <c r="C47" s="117"/>
      <c r="D47" s="93"/>
      <c r="E47" s="93"/>
      <c r="F47" s="93"/>
      <c r="G47" s="93"/>
      <c r="H47" s="93"/>
      <c r="I47" s="93"/>
      <c r="J47" s="93"/>
      <c r="K47" s="94"/>
      <c r="L47" s="44"/>
      <c r="M47" s="57"/>
      <c r="N47" s="58"/>
      <c r="O47" s="58"/>
      <c r="P47" s="59"/>
    </row>
    <row r="48" spans="2:16" ht="32.25" customHeight="1">
      <c r="B48" s="41">
        <v>3</v>
      </c>
      <c r="C48" s="117"/>
      <c r="D48" s="93"/>
      <c r="E48" s="93"/>
      <c r="F48" s="93"/>
      <c r="G48" s="93"/>
      <c r="H48" s="93"/>
      <c r="I48" s="93"/>
      <c r="J48" s="93"/>
      <c r="K48" s="94"/>
      <c r="M48" s="57"/>
      <c r="N48" s="58"/>
      <c r="O48" s="58"/>
      <c r="P48" s="59"/>
    </row>
    <row r="49" spans="2:18" ht="32.25" customHeight="1">
      <c r="B49" s="41">
        <v>4</v>
      </c>
      <c r="C49" s="117"/>
      <c r="D49" s="93"/>
      <c r="E49" s="93"/>
      <c r="F49" s="93"/>
      <c r="G49" s="93"/>
      <c r="H49" s="93"/>
      <c r="I49" s="93"/>
      <c r="J49" s="93"/>
      <c r="K49" s="94"/>
      <c r="M49" s="57"/>
      <c r="N49" s="58"/>
      <c r="O49" s="58"/>
      <c r="P49" s="59"/>
    </row>
    <row r="50" spans="2:18" ht="32.25" customHeight="1">
      <c r="B50" s="35">
        <v>5</v>
      </c>
      <c r="C50" s="117"/>
      <c r="D50" s="93"/>
      <c r="E50" s="93"/>
      <c r="F50" s="93"/>
      <c r="G50" s="93"/>
      <c r="H50" s="93"/>
      <c r="I50" s="93"/>
      <c r="J50" s="93"/>
      <c r="K50" s="94"/>
      <c r="L50" s="42"/>
      <c r="M50" s="57"/>
      <c r="N50" s="58"/>
      <c r="O50" s="58"/>
      <c r="P50" s="59"/>
    </row>
    <row r="51" spans="2:18" ht="32.25" customHeight="1">
      <c r="B51" s="41">
        <v>6</v>
      </c>
      <c r="C51" s="117"/>
      <c r="D51" s="93"/>
      <c r="E51" s="93"/>
      <c r="F51" s="93"/>
      <c r="G51" s="93"/>
      <c r="H51" s="93"/>
      <c r="I51" s="93"/>
      <c r="J51" s="93"/>
      <c r="K51" s="94"/>
      <c r="L51" s="46"/>
      <c r="M51" s="57"/>
      <c r="N51" s="58"/>
      <c r="O51" s="58"/>
      <c r="P51" s="59"/>
      <c r="R51" s="47"/>
    </row>
    <row r="52" spans="2:18" ht="32.25" customHeight="1">
      <c r="B52" s="41">
        <v>7</v>
      </c>
      <c r="C52" s="117"/>
      <c r="D52" s="93"/>
      <c r="E52" s="93"/>
      <c r="F52" s="93"/>
      <c r="G52" s="93"/>
      <c r="H52" s="93"/>
      <c r="I52" s="93"/>
      <c r="J52" s="93"/>
      <c r="K52" s="94"/>
      <c r="L52" s="46"/>
      <c r="M52" s="57"/>
      <c r="N52" s="58"/>
      <c r="O52" s="58"/>
      <c r="P52" s="59"/>
    </row>
    <row r="53" spans="2:18" ht="32.25" customHeight="1">
      <c r="B53" s="35">
        <v>8</v>
      </c>
      <c r="C53" s="117"/>
      <c r="D53" s="93"/>
      <c r="E53" s="93"/>
      <c r="F53" s="93"/>
      <c r="G53" s="93"/>
      <c r="H53" s="93"/>
      <c r="I53" s="93"/>
      <c r="J53" s="93"/>
      <c r="K53" s="94"/>
      <c r="L53" s="46"/>
      <c r="M53" s="57"/>
      <c r="N53" s="58"/>
      <c r="O53" s="58"/>
      <c r="P53" s="59"/>
      <c r="R53" s="47"/>
    </row>
    <row r="54" spans="2:18" ht="32.25" customHeight="1">
      <c r="B54" s="41">
        <v>9</v>
      </c>
      <c r="C54" s="117"/>
      <c r="D54" s="93"/>
      <c r="E54" s="93"/>
      <c r="F54" s="93"/>
      <c r="G54" s="93"/>
      <c r="H54" s="93"/>
      <c r="I54" s="93"/>
      <c r="J54" s="93"/>
      <c r="K54" s="94"/>
      <c r="L54" s="46"/>
      <c r="M54" s="57"/>
      <c r="N54" s="58"/>
      <c r="O54" s="58"/>
      <c r="P54" s="59"/>
      <c r="R54" s="47"/>
    </row>
    <row r="55" spans="2:18" ht="32.25" customHeight="1">
      <c r="B55" s="41">
        <v>10</v>
      </c>
      <c r="C55" s="117"/>
      <c r="D55" s="93"/>
      <c r="E55" s="93"/>
      <c r="F55" s="93"/>
      <c r="G55" s="93"/>
      <c r="H55" s="93"/>
      <c r="I55" s="93"/>
      <c r="J55" s="93"/>
      <c r="K55" s="94"/>
      <c r="L55" s="46"/>
      <c r="M55" s="57"/>
      <c r="N55" s="58"/>
      <c r="O55" s="58"/>
      <c r="P55" s="59"/>
    </row>
    <row r="56" spans="2:18" ht="32.25" customHeight="1">
      <c r="B56" s="35">
        <v>11</v>
      </c>
      <c r="C56" s="117"/>
      <c r="D56" s="93"/>
      <c r="E56" s="93"/>
      <c r="F56" s="93"/>
      <c r="G56" s="93"/>
      <c r="H56" s="93"/>
      <c r="I56" s="93"/>
      <c r="J56" s="93"/>
      <c r="K56" s="94"/>
      <c r="L56" s="46"/>
      <c r="M56" s="57"/>
      <c r="N56" s="58"/>
      <c r="O56" s="58"/>
      <c r="P56" s="59"/>
    </row>
    <row r="57" spans="2:18" ht="32.25" customHeight="1">
      <c r="B57" s="41">
        <v>12</v>
      </c>
      <c r="C57" s="117"/>
      <c r="D57" s="93"/>
      <c r="E57" s="93"/>
      <c r="F57" s="93"/>
      <c r="G57" s="93"/>
      <c r="H57" s="93"/>
      <c r="I57" s="93"/>
      <c r="J57" s="93"/>
      <c r="K57" s="94"/>
      <c r="L57" s="44"/>
      <c r="M57" s="57"/>
      <c r="N57" s="58"/>
      <c r="O57" s="58"/>
      <c r="P57" s="59"/>
    </row>
    <row r="58" spans="2:18" ht="14.25" customHeight="1"/>
    <row r="59" spans="2:18" ht="14.25" customHeight="1"/>
    <row r="60" spans="2:18" ht="14.25" customHeight="1"/>
    <row r="61" spans="2:18" ht="14.25" customHeight="1"/>
    <row r="62" spans="2:18" ht="14.25" customHeight="1"/>
    <row r="63" spans="2:18" ht="14.25" customHeight="1"/>
    <row r="64" spans="2:18"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sheetData>
  <mergeCells count="51">
    <mergeCell ref="C28:K28"/>
    <mergeCell ref="C29:K29"/>
    <mergeCell ref="C30:K30"/>
    <mergeCell ref="C31:K31"/>
    <mergeCell ref="C23:K23"/>
    <mergeCell ref="C25:K25"/>
    <mergeCell ref="P8:P9"/>
    <mergeCell ref="C9:J9"/>
    <mergeCell ref="C2:G2"/>
    <mergeCell ref="C3:G3"/>
    <mergeCell ref="C4:G4"/>
    <mergeCell ref="B5:C5"/>
    <mergeCell ref="M8:O8"/>
    <mergeCell ref="C32:K32"/>
    <mergeCell ref="C11:E11"/>
    <mergeCell ref="C12:K12"/>
    <mergeCell ref="C13:K13"/>
    <mergeCell ref="C14:K14"/>
    <mergeCell ref="C15:K15"/>
    <mergeCell ref="C16:K16"/>
    <mergeCell ref="C17:K17"/>
    <mergeCell ref="C18:K18"/>
    <mergeCell ref="C19:K19"/>
    <mergeCell ref="C20:K20"/>
    <mergeCell ref="C21:K21"/>
    <mergeCell ref="C22:K22"/>
    <mergeCell ref="C24:K24"/>
    <mergeCell ref="C26:K26"/>
    <mergeCell ref="C27:K27"/>
    <mergeCell ref="C47:K47"/>
    <mergeCell ref="C33:K33"/>
    <mergeCell ref="C34:K34"/>
    <mergeCell ref="C35:K35"/>
    <mergeCell ref="C36:K36"/>
    <mergeCell ref="C37:K37"/>
    <mergeCell ref="C38:K38"/>
    <mergeCell ref="C39:K39"/>
    <mergeCell ref="C40:K40"/>
    <mergeCell ref="C43:J43"/>
    <mergeCell ref="C45:E45"/>
    <mergeCell ref="C46:K46"/>
    <mergeCell ref="C54:K54"/>
    <mergeCell ref="C55:K55"/>
    <mergeCell ref="C56:K56"/>
    <mergeCell ref="C57:K57"/>
    <mergeCell ref="C48:K48"/>
    <mergeCell ref="C49:K49"/>
    <mergeCell ref="C50:K50"/>
    <mergeCell ref="C51:K51"/>
    <mergeCell ref="C52:K52"/>
    <mergeCell ref="C53:K53"/>
  </mergeCells>
  <hyperlinks>
    <hyperlink ref="V2" location="'REQ. NO FUN. GEN'!A1" display="Volver" xr:uid="{668CBF3B-C3D4-4251-B849-AB28F9F489ED}"/>
  </hyperlinks>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AFCC-E838-4801-9BC9-A32716C2DA23}">
  <dimension ref="B1:V1007"/>
  <sheetViews>
    <sheetView topLeftCell="A3" workbookViewId="0">
      <selection activeCell="T19" sqref="T19"/>
    </sheetView>
  </sheetViews>
  <sheetFormatPr baseColWidth="10" defaultColWidth="12.5703125" defaultRowHeight="15" customHeight="1"/>
  <cols>
    <col min="1" max="1" width="10.5703125" customWidth="1"/>
    <col min="2" max="2" width="4.42578125" customWidth="1"/>
    <col min="3" max="9" width="10.5703125" customWidth="1"/>
    <col min="10" max="10" width="10.85546875" customWidth="1"/>
    <col min="11"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78"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25" t="s">
        <v>789</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2.25" customHeight="1">
      <c r="B12" s="41">
        <v>1</v>
      </c>
      <c r="C12" s="117" t="s">
        <v>806</v>
      </c>
      <c r="D12" s="93"/>
      <c r="E12" s="93"/>
      <c r="F12" s="93"/>
      <c r="G12" s="93"/>
      <c r="H12" s="93"/>
      <c r="I12" s="93"/>
      <c r="J12" s="93"/>
      <c r="K12" s="94"/>
      <c r="L12" s="42"/>
      <c r="M12" s="57" t="s">
        <v>46</v>
      </c>
      <c r="N12" s="58"/>
      <c r="O12" s="58"/>
      <c r="P12" s="59"/>
    </row>
    <row r="13" spans="2:22" ht="32.25" customHeight="1">
      <c r="B13" s="63">
        <v>2</v>
      </c>
      <c r="C13" s="117" t="s">
        <v>807</v>
      </c>
      <c r="D13" s="93"/>
      <c r="E13" s="93"/>
      <c r="F13" s="93"/>
      <c r="G13" s="93"/>
      <c r="H13" s="93"/>
      <c r="I13" s="93"/>
      <c r="J13" s="93"/>
      <c r="K13" s="94"/>
      <c r="L13" s="64"/>
      <c r="M13" s="57" t="s">
        <v>46</v>
      </c>
      <c r="N13" s="58"/>
      <c r="O13" s="58"/>
      <c r="P13" s="62"/>
    </row>
    <row r="14" spans="2:22" ht="32.25" customHeight="1">
      <c r="B14" s="63">
        <v>3</v>
      </c>
      <c r="C14" s="117" t="s">
        <v>808</v>
      </c>
      <c r="D14" s="93"/>
      <c r="E14" s="93"/>
      <c r="F14" s="93"/>
      <c r="G14" s="93"/>
      <c r="H14" s="93"/>
      <c r="I14" s="93"/>
      <c r="J14" s="93"/>
      <c r="K14" s="94"/>
      <c r="L14" s="64"/>
      <c r="M14" s="57" t="s">
        <v>46</v>
      </c>
      <c r="N14" s="58"/>
      <c r="O14" s="58"/>
      <c r="P14" s="62"/>
    </row>
    <row r="15" spans="2:22" ht="48" customHeight="1">
      <c r="B15" s="41">
        <v>4</v>
      </c>
      <c r="C15" s="117" t="s">
        <v>810</v>
      </c>
      <c r="D15" s="93"/>
      <c r="E15" s="93"/>
      <c r="F15" s="93"/>
      <c r="G15" s="93"/>
      <c r="H15" s="93"/>
      <c r="I15" s="93"/>
      <c r="J15" s="93"/>
      <c r="K15" s="94"/>
      <c r="L15" s="64"/>
      <c r="M15" s="57" t="s">
        <v>46</v>
      </c>
      <c r="N15" s="58"/>
      <c r="O15" s="58"/>
      <c r="P15" s="62"/>
    </row>
    <row r="16" spans="2:22" ht="32.25" customHeight="1">
      <c r="B16" s="63">
        <v>5</v>
      </c>
      <c r="C16" s="117" t="s">
        <v>811</v>
      </c>
      <c r="D16" s="93"/>
      <c r="E16" s="93"/>
      <c r="F16" s="93"/>
      <c r="G16" s="93"/>
      <c r="H16" s="93"/>
      <c r="I16" s="93"/>
      <c r="J16" s="93"/>
      <c r="K16" s="94"/>
      <c r="L16" s="64"/>
      <c r="M16" s="57" t="s">
        <v>46</v>
      </c>
      <c r="N16" s="58"/>
      <c r="O16" s="58"/>
      <c r="P16" s="62"/>
    </row>
    <row r="17" spans="2:16" ht="51" customHeight="1">
      <c r="B17" s="63">
        <v>6</v>
      </c>
      <c r="C17" s="117" t="s">
        <v>809</v>
      </c>
      <c r="D17" s="93"/>
      <c r="E17" s="93"/>
      <c r="F17" s="93"/>
      <c r="G17" s="93"/>
      <c r="H17" s="93"/>
      <c r="I17" s="93"/>
      <c r="J17" s="93"/>
      <c r="K17" s="94"/>
      <c r="L17" s="64"/>
      <c r="M17" s="57" t="s">
        <v>46</v>
      </c>
      <c r="N17" s="58"/>
      <c r="O17" s="58"/>
      <c r="P17" s="62"/>
    </row>
    <row r="18" spans="2:16" ht="60.75" customHeight="1">
      <c r="B18" s="41">
        <v>7</v>
      </c>
      <c r="C18" s="117" t="s">
        <v>812</v>
      </c>
      <c r="D18" s="93"/>
      <c r="E18" s="93"/>
      <c r="F18" s="93"/>
      <c r="G18" s="93"/>
      <c r="H18" s="93"/>
      <c r="I18" s="93"/>
      <c r="J18" s="93"/>
      <c r="K18" s="94"/>
      <c r="L18" s="64"/>
      <c r="M18" s="57" t="s">
        <v>46</v>
      </c>
      <c r="N18" s="58"/>
      <c r="O18" s="58"/>
      <c r="P18" s="62"/>
    </row>
    <row r="19" spans="2:16" ht="32.25" customHeight="1">
      <c r="B19" s="63">
        <v>8</v>
      </c>
      <c r="C19" s="117" t="s">
        <v>813</v>
      </c>
      <c r="D19" s="93"/>
      <c r="E19" s="93"/>
      <c r="F19" s="93"/>
      <c r="G19" s="93"/>
      <c r="H19" s="93"/>
      <c r="I19" s="93"/>
      <c r="J19" s="93"/>
      <c r="K19" s="94"/>
      <c r="L19" s="64"/>
      <c r="M19" s="57" t="s">
        <v>46</v>
      </c>
      <c r="N19" s="58"/>
      <c r="O19" s="58"/>
      <c r="P19" s="62"/>
    </row>
    <row r="20" spans="2:16" ht="58.5" customHeight="1">
      <c r="B20" s="63">
        <v>9</v>
      </c>
      <c r="C20" s="117" t="s">
        <v>814</v>
      </c>
      <c r="D20" s="93"/>
      <c r="E20" s="93"/>
      <c r="F20" s="93"/>
      <c r="G20" s="93"/>
      <c r="H20" s="93"/>
      <c r="I20" s="93"/>
      <c r="J20" s="93"/>
      <c r="K20" s="94"/>
      <c r="L20" s="64"/>
      <c r="M20" s="57" t="s">
        <v>46</v>
      </c>
      <c r="N20" s="58"/>
      <c r="O20" s="58"/>
      <c r="P20" s="62"/>
    </row>
    <row r="21" spans="2:16" ht="32.25" customHeight="1">
      <c r="B21" s="41">
        <v>10</v>
      </c>
      <c r="C21" s="117"/>
      <c r="D21" s="93"/>
      <c r="E21" s="93"/>
      <c r="F21" s="93"/>
      <c r="G21" s="93"/>
      <c r="H21" s="93"/>
      <c r="I21" s="93"/>
      <c r="J21" s="93"/>
      <c r="K21" s="94"/>
      <c r="L21" s="46"/>
      <c r="M21" s="57"/>
      <c r="N21" s="58"/>
      <c r="O21" s="58"/>
      <c r="P21" s="59"/>
    </row>
    <row r="22" spans="2:16" ht="32.25" customHeight="1">
      <c r="B22" s="63">
        <v>11</v>
      </c>
      <c r="C22" s="117"/>
      <c r="D22" s="93"/>
      <c r="E22" s="93"/>
      <c r="F22" s="93"/>
      <c r="G22" s="93"/>
      <c r="H22" s="93"/>
      <c r="I22" s="93"/>
      <c r="J22" s="93"/>
      <c r="K22" s="94"/>
      <c r="L22" s="46"/>
      <c r="M22" s="57"/>
      <c r="N22" s="58"/>
      <c r="O22" s="58"/>
      <c r="P22" s="59"/>
    </row>
    <row r="23" spans="2:16" ht="32.25" customHeight="1">
      <c r="B23" s="63">
        <v>12</v>
      </c>
      <c r="C23" s="117"/>
      <c r="D23" s="93"/>
      <c r="E23" s="93"/>
      <c r="F23" s="93"/>
      <c r="G23" s="93"/>
      <c r="H23" s="93"/>
      <c r="I23" s="93"/>
      <c r="J23" s="93"/>
      <c r="K23" s="94"/>
      <c r="L23" s="46"/>
      <c r="M23" s="57"/>
      <c r="N23" s="58"/>
      <c r="O23" s="58"/>
      <c r="P23" s="59"/>
    </row>
    <row r="24" spans="2:16" ht="32.25" customHeight="1">
      <c r="B24" s="41">
        <v>13</v>
      </c>
      <c r="C24" s="117"/>
      <c r="D24" s="93"/>
      <c r="E24" s="93"/>
      <c r="F24" s="93"/>
      <c r="G24" s="93"/>
      <c r="H24" s="93"/>
      <c r="I24" s="93"/>
      <c r="J24" s="93"/>
      <c r="K24" s="94"/>
      <c r="L24" s="46"/>
      <c r="M24" s="57"/>
      <c r="N24" s="58"/>
      <c r="O24" s="58"/>
      <c r="P24" s="59"/>
    </row>
    <row r="25" spans="2:16" ht="32.25" customHeight="1">
      <c r="B25" s="63">
        <v>14</v>
      </c>
      <c r="C25" s="117"/>
      <c r="D25" s="93"/>
      <c r="E25" s="93"/>
      <c r="F25" s="93"/>
      <c r="G25" s="93"/>
      <c r="H25" s="93"/>
      <c r="I25" s="93"/>
      <c r="J25" s="93"/>
      <c r="K25" s="94"/>
      <c r="L25" s="46"/>
      <c r="M25" s="57"/>
      <c r="N25" s="58"/>
      <c r="O25" s="58"/>
      <c r="P25" s="59"/>
    </row>
    <row r="26" spans="2:16" ht="33" customHeight="1">
      <c r="B26" s="63">
        <v>15</v>
      </c>
      <c r="C26" s="117"/>
      <c r="D26" s="93"/>
      <c r="E26" s="93"/>
      <c r="F26" s="93"/>
      <c r="G26" s="93"/>
      <c r="H26" s="93"/>
      <c r="I26" s="93"/>
      <c r="J26" s="93"/>
      <c r="K26" s="94"/>
      <c r="L26" s="46"/>
      <c r="M26" s="57"/>
      <c r="N26" s="58"/>
      <c r="O26" s="58"/>
      <c r="P26" s="59"/>
    </row>
    <row r="27" spans="2:16" ht="32.25" customHeight="1">
      <c r="B27" s="41">
        <v>16</v>
      </c>
      <c r="C27" s="117"/>
      <c r="D27" s="93"/>
      <c r="E27" s="93"/>
      <c r="F27" s="93"/>
      <c r="G27" s="93"/>
      <c r="H27" s="93"/>
      <c r="I27" s="93"/>
      <c r="J27" s="93"/>
      <c r="K27" s="94"/>
      <c r="L27" s="46"/>
      <c r="M27" s="57"/>
      <c r="N27" s="58"/>
      <c r="O27" s="58"/>
      <c r="P27" s="59"/>
    </row>
    <row r="28" spans="2:16" ht="32.25" customHeight="1">
      <c r="B28" s="63">
        <v>17</v>
      </c>
      <c r="C28" s="117"/>
      <c r="D28" s="93"/>
      <c r="E28" s="93"/>
      <c r="F28" s="93"/>
      <c r="G28" s="93"/>
      <c r="H28" s="93"/>
      <c r="I28" s="93"/>
      <c r="J28" s="93"/>
      <c r="K28" s="94"/>
      <c r="L28" s="46"/>
      <c r="M28" s="57"/>
      <c r="N28" s="58"/>
      <c r="O28" s="58"/>
      <c r="P28" s="59"/>
    </row>
    <row r="29" spans="2:16" ht="32.25" customHeight="1">
      <c r="B29" s="63">
        <v>18</v>
      </c>
      <c r="C29" s="117"/>
      <c r="D29" s="93"/>
      <c r="E29" s="93"/>
      <c r="F29" s="93"/>
      <c r="G29" s="93"/>
      <c r="H29" s="93"/>
      <c r="I29" s="93"/>
      <c r="J29" s="93"/>
      <c r="K29" s="94"/>
      <c r="L29" s="46"/>
      <c r="M29" s="57"/>
      <c r="N29" s="58"/>
      <c r="O29" s="58"/>
      <c r="P29" s="59"/>
    </row>
    <row r="30" spans="2:16" ht="33.75" customHeight="1">
      <c r="B30" s="41">
        <v>19</v>
      </c>
      <c r="C30" s="117"/>
      <c r="D30" s="93"/>
      <c r="E30" s="93"/>
      <c r="F30" s="93"/>
      <c r="G30" s="93"/>
      <c r="H30" s="93"/>
      <c r="I30" s="93"/>
      <c r="J30" s="93"/>
      <c r="K30" s="94"/>
      <c r="L30" s="46"/>
      <c r="M30" s="57"/>
      <c r="N30" s="58"/>
      <c r="O30" s="58"/>
      <c r="P30" s="59"/>
    </row>
    <row r="31" spans="2:16" ht="14.25" customHeight="1"/>
    <row r="32" spans="2:16" ht="14.25" customHeight="1"/>
    <row r="33" spans="2:18" ht="14.25" customHeight="1">
      <c r="B33" s="35"/>
      <c r="C33" s="125" t="s">
        <v>441</v>
      </c>
      <c r="D33" s="99"/>
      <c r="E33" s="99"/>
      <c r="F33" s="99"/>
      <c r="G33" s="99"/>
      <c r="H33" s="99"/>
      <c r="I33" s="99"/>
      <c r="J33" s="100"/>
      <c r="K33" s="36"/>
    </row>
    <row r="34" spans="2:18" ht="14.25" customHeight="1"/>
    <row r="35" spans="2:18" ht="14.25" customHeight="1">
      <c r="B35" s="40"/>
      <c r="C35" s="120"/>
      <c r="D35" s="109"/>
      <c r="E35" s="110"/>
      <c r="F35" s="36"/>
      <c r="G35" s="36"/>
      <c r="H35" s="36"/>
      <c r="I35" s="36"/>
      <c r="J35" s="36"/>
      <c r="K35" s="36"/>
    </row>
    <row r="36" spans="2:18" ht="32.25" customHeight="1">
      <c r="B36" s="41">
        <v>1</v>
      </c>
      <c r="C36" s="117"/>
      <c r="D36" s="93"/>
      <c r="E36" s="93"/>
      <c r="F36" s="93"/>
      <c r="G36" s="93"/>
      <c r="H36" s="93"/>
      <c r="I36" s="93"/>
      <c r="J36" s="93"/>
      <c r="K36" s="94"/>
      <c r="L36" s="42"/>
      <c r="M36" s="57"/>
      <c r="N36" s="58"/>
      <c r="O36" s="58"/>
      <c r="P36" s="59"/>
    </row>
    <row r="37" spans="2:18" ht="32.25" customHeight="1">
      <c r="B37" s="35">
        <v>2</v>
      </c>
      <c r="C37" s="117"/>
      <c r="D37" s="93"/>
      <c r="E37" s="93"/>
      <c r="F37" s="93"/>
      <c r="G37" s="93"/>
      <c r="H37" s="93"/>
      <c r="I37" s="93"/>
      <c r="J37" s="93"/>
      <c r="K37" s="94"/>
      <c r="L37" s="44"/>
      <c r="M37" s="57"/>
      <c r="N37" s="58"/>
      <c r="O37" s="58"/>
      <c r="P37" s="59"/>
    </row>
    <row r="38" spans="2:18" ht="32.25" customHeight="1">
      <c r="B38" s="41">
        <v>3</v>
      </c>
      <c r="C38" s="117"/>
      <c r="D38" s="93"/>
      <c r="E38" s="93"/>
      <c r="F38" s="93"/>
      <c r="G38" s="93"/>
      <c r="H38" s="93"/>
      <c r="I38" s="93"/>
      <c r="J38" s="93"/>
      <c r="K38" s="94"/>
      <c r="M38" s="57"/>
      <c r="N38" s="58"/>
      <c r="O38" s="58"/>
      <c r="P38" s="59"/>
    </row>
    <row r="39" spans="2:18" ht="32.25" customHeight="1">
      <c r="B39" s="41">
        <v>4</v>
      </c>
      <c r="C39" s="117"/>
      <c r="D39" s="93"/>
      <c r="E39" s="93"/>
      <c r="F39" s="93"/>
      <c r="G39" s="93"/>
      <c r="H39" s="93"/>
      <c r="I39" s="93"/>
      <c r="J39" s="93"/>
      <c r="K39" s="94"/>
      <c r="M39" s="57"/>
      <c r="N39" s="58"/>
      <c r="O39" s="58"/>
      <c r="P39" s="59"/>
    </row>
    <row r="40" spans="2:18" ht="32.25" customHeight="1">
      <c r="B40" s="35">
        <v>5</v>
      </c>
      <c r="C40" s="117"/>
      <c r="D40" s="93"/>
      <c r="E40" s="93"/>
      <c r="F40" s="93"/>
      <c r="G40" s="93"/>
      <c r="H40" s="93"/>
      <c r="I40" s="93"/>
      <c r="J40" s="93"/>
      <c r="K40" s="94"/>
      <c r="L40" s="42"/>
      <c r="M40" s="57"/>
      <c r="N40" s="58"/>
      <c r="O40" s="58"/>
      <c r="P40" s="59"/>
    </row>
    <row r="41" spans="2:18" ht="32.25" customHeight="1">
      <c r="B41" s="41">
        <v>6</v>
      </c>
      <c r="C41" s="117"/>
      <c r="D41" s="93"/>
      <c r="E41" s="93"/>
      <c r="F41" s="93"/>
      <c r="G41" s="93"/>
      <c r="H41" s="93"/>
      <c r="I41" s="93"/>
      <c r="J41" s="93"/>
      <c r="K41" s="94"/>
      <c r="L41" s="46"/>
      <c r="M41" s="57"/>
      <c r="N41" s="58"/>
      <c r="O41" s="58"/>
      <c r="P41" s="59"/>
      <c r="R41" s="47"/>
    </row>
    <row r="42" spans="2:18" ht="32.25" customHeight="1">
      <c r="B42" s="41">
        <v>7</v>
      </c>
      <c r="C42" s="117"/>
      <c r="D42" s="93"/>
      <c r="E42" s="93"/>
      <c r="F42" s="93"/>
      <c r="G42" s="93"/>
      <c r="H42" s="93"/>
      <c r="I42" s="93"/>
      <c r="J42" s="93"/>
      <c r="K42" s="94"/>
      <c r="L42" s="46"/>
      <c r="M42" s="57"/>
      <c r="N42" s="58"/>
      <c r="O42" s="58"/>
      <c r="P42" s="59"/>
    </row>
    <row r="43" spans="2:18" ht="32.25" customHeight="1">
      <c r="B43" s="35">
        <v>8</v>
      </c>
      <c r="C43" s="117"/>
      <c r="D43" s="93"/>
      <c r="E43" s="93"/>
      <c r="F43" s="93"/>
      <c r="G43" s="93"/>
      <c r="H43" s="93"/>
      <c r="I43" s="93"/>
      <c r="J43" s="93"/>
      <c r="K43" s="94"/>
      <c r="L43" s="46"/>
      <c r="M43" s="57"/>
      <c r="N43" s="58"/>
      <c r="O43" s="58"/>
      <c r="P43" s="59"/>
      <c r="R43" s="47"/>
    </row>
    <row r="44" spans="2:18" ht="32.25" customHeight="1">
      <c r="B44" s="41">
        <v>9</v>
      </c>
      <c r="C44" s="117"/>
      <c r="D44" s="93"/>
      <c r="E44" s="93"/>
      <c r="F44" s="93"/>
      <c r="G44" s="93"/>
      <c r="H44" s="93"/>
      <c r="I44" s="93"/>
      <c r="J44" s="93"/>
      <c r="K44" s="94"/>
      <c r="L44" s="46"/>
      <c r="M44" s="57"/>
      <c r="N44" s="58"/>
      <c r="O44" s="58"/>
      <c r="P44" s="59"/>
      <c r="R44" s="47"/>
    </row>
    <row r="45" spans="2:18" ht="32.25" customHeight="1">
      <c r="B45" s="41">
        <v>10</v>
      </c>
      <c r="C45" s="117"/>
      <c r="D45" s="93"/>
      <c r="E45" s="93"/>
      <c r="F45" s="93"/>
      <c r="G45" s="93"/>
      <c r="H45" s="93"/>
      <c r="I45" s="93"/>
      <c r="J45" s="93"/>
      <c r="K45" s="94"/>
      <c r="L45" s="46"/>
      <c r="M45" s="57"/>
      <c r="N45" s="58"/>
      <c r="O45" s="58"/>
      <c r="P45" s="59"/>
    </row>
    <row r="46" spans="2:18" ht="32.25" customHeight="1">
      <c r="B46" s="35">
        <v>11</v>
      </c>
      <c r="C46" s="117"/>
      <c r="D46" s="93"/>
      <c r="E46" s="93"/>
      <c r="F46" s="93"/>
      <c r="G46" s="93"/>
      <c r="H46" s="93"/>
      <c r="I46" s="93"/>
      <c r="J46" s="93"/>
      <c r="K46" s="94"/>
      <c r="L46" s="46"/>
      <c r="M46" s="57"/>
      <c r="N46" s="58"/>
      <c r="O46" s="58"/>
      <c r="P46" s="59"/>
    </row>
    <row r="47" spans="2:18" ht="32.25" customHeight="1">
      <c r="B47" s="41">
        <v>12</v>
      </c>
      <c r="C47" s="117"/>
      <c r="D47" s="93"/>
      <c r="E47" s="93"/>
      <c r="F47" s="93"/>
      <c r="G47" s="93"/>
      <c r="H47" s="93"/>
      <c r="I47" s="93"/>
      <c r="J47" s="93"/>
      <c r="K47" s="94"/>
      <c r="L47" s="44"/>
      <c r="M47" s="57"/>
      <c r="N47" s="58"/>
      <c r="O47" s="58"/>
      <c r="P47" s="59"/>
    </row>
    <row r="48" spans="2: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sheetData>
  <mergeCells count="41">
    <mergeCell ref="P8:P9"/>
    <mergeCell ref="C9:J9"/>
    <mergeCell ref="C2:G2"/>
    <mergeCell ref="C3:G3"/>
    <mergeCell ref="C4:G4"/>
    <mergeCell ref="B5:C5"/>
    <mergeCell ref="M8:O8"/>
    <mergeCell ref="C22:K22"/>
    <mergeCell ref="C11:E11"/>
    <mergeCell ref="C12:K12"/>
    <mergeCell ref="C13:K13"/>
    <mergeCell ref="C14:K14"/>
    <mergeCell ref="C15:K15"/>
    <mergeCell ref="C16:K16"/>
    <mergeCell ref="C17:K17"/>
    <mergeCell ref="C18:K18"/>
    <mergeCell ref="C19:K19"/>
    <mergeCell ref="C20:K20"/>
    <mergeCell ref="C21:K21"/>
    <mergeCell ref="C37:K37"/>
    <mergeCell ref="C23:K23"/>
    <mergeCell ref="C24:K24"/>
    <mergeCell ref="C25:K25"/>
    <mergeCell ref="C26:K26"/>
    <mergeCell ref="C27:K27"/>
    <mergeCell ref="C28:K28"/>
    <mergeCell ref="C29:K29"/>
    <mergeCell ref="C30:K30"/>
    <mergeCell ref="C33:J33"/>
    <mergeCell ref="C35:E35"/>
    <mergeCell ref="C36:K36"/>
    <mergeCell ref="C44:K44"/>
    <mergeCell ref="C45:K45"/>
    <mergeCell ref="C46:K46"/>
    <mergeCell ref="C47:K47"/>
    <mergeCell ref="C38:K38"/>
    <mergeCell ref="C39:K39"/>
    <mergeCell ref="C40:K40"/>
    <mergeCell ref="C41:K41"/>
    <mergeCell ref="C42:K42"/>
    <mergeCell ref="C43:K43"/>
  </mergeCells>
  <hyperlinks>
    <hyperlink ref="V2" location="'REQ. NO FUN. GEN'!A1" display="Volver" xr:uid="{0EF609AA-2918-4A09-A03B-F97DEFEED4AB}"/>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4971-0A5A-49FE-8776-ADEF9C14C9CB}">
  <dimension ref="B1:V1006"/>
  <sheetViews>
    <sheetView workbookViewId="0">
      <selection activeCell="V2" sqref="V2"/>
    </sheetView>
  </sheetViews>
  <sheetFormatPr baseColWidth="10" defaultColWidth="12.5703125" defaultRowHeight="15" customHeight="1"/>
  <cols>
    <col min="1" max="1" width="10.5703125" customWidth="1"/>
    <col min="2" max="2" width="4.42578125" customWidth="1"/>
    <col min="3" max="3" width="12.5703125" customWidth="1"/>
    <col min="4" max="9" width="10.5703125" customWidth="1"/>
    <col min="10" max="10" width="12.28515625" customWidth="1"/>
    <col min="11"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79"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25" t="s">
        <v>788</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2.25" customHeight="1">
      <c r="B12" s="41">
        <v>1</v>
      </c>
      <c r="C12" s="117" t="s">
        <v>815</v>
      </c>
      <c r="D12" s="93"/>
      <c r="E12" s="93"/>
      <c r="F12" s="93"/>
      <c r="G12" s="93"/>
      <c r="H12" s="93"/>
      <c r="I12" s="93"/>
      <c r="J12" s="93"/>
      <c r="K12" s="94"/>
      <c r="L12" s="42"/>
      <c r="M12" s="57" t="s">
        <v>46</v>
      </c>
      <c r="N12" s="58"/>
      <c r="O12" s="58"/>
      <c r="P12" s="59"/>
    </row>
    <row r="13" spans="2:22" ht="32.25" customHeight="1">
      <c r="B13" s="63">
        <v>2</v>
      </c>
      <c r="C13" s="117" t="s">
        <v>816</v>
      </c>
      <c r="D13" s="93"/>
      <c r="E13" s="93"/>
      <c r="F13" s="93"/>
      <c r="G13" s="93"/>
      <c r="H13" s="93"/>
      <c r="I13" s="93"/>
      <c r="J13" s="93"/>
      <c r="K13" s="94"/>
      <c r="L13" s="64"/>
      <c r="M13" s="57" t="s">
        <v>46</v>
      </c>
      <c r="N13" s="58"/>
      <c r="O13" s="58"/>
      <c r="P13" s="62"/>
    </row>
    <row r="14" spans="2:22" ht="32.25" customHeight="1">
      <c r="B14" s="63">
        <v>3</v>
      </c>
      <c r="C14" s="117" t="s">
        <v>817</v>
      </c>
      <c r="D14" s="93"/>
      <c r="E14" s="93"/>
      <c r="F14" s="93"/>
      <c r="G14" s="93"/>
      <c r="H14" s="93"/>
      <c r="I14" s="93"/>
      <c r="J14" s="93"/>
      <c r="K14" s="94"/>
      <c r="L14" s="64"/>
      <c r="M14" s="57" t="s">
        <v>46</v>
      </c>
      <c r="N14" s="58"/>
      <c r="O14" s="58"/>
      <c r="P14" s="62"/>
    </row>
    <row r="15" spans="2:22" ht="32.25" customHeight="1">
      <c r="B15" s="41">
        <v>4</v>
      </c>
      <c r="C15" s="117" t="s">
        <v>818</v>
      </c>
      <c r="D15" s="93"/>
      <c r="E15" s="93"/>
      <c r="F15" s="93"/>
      <c r="G15" s="93"/>
      <c r="H15" s="93"/>
      <c r="I15" s="93"/>
      <c r="J15" s="93"/>
      <c r="K15" s="94"/>
      <c r="L15" s="64"/>
      <c r="M15" s="57" t="s">
        <v>46</v>
      </c>
      <c r="N15" s="58"/>
      <c r="O15" s="58"/>
      <c r="P15" s="62"/>
    </row>
    <row r="16" spans="2:22" ht="32.25" customHeight="1">
      <c r="B16" s="63">
        <v>5</v>
      </c>
      <c r="C16" s="117" t="s">
        <v>819</v>
      </c>
      <c r="D16" s="93"/>
      <c r="E16" s="93"/>
      <c r="F16" s="93"/>
      <c r="G16" s="93"/>
      <c r="H16" s="93"/>
      <c r="I16" s="93"/>
      <c r="J16" s="93"/>
      <c r="K16" s="94"/>
      <c r="L16" s="64"/>
      <c r="M16" s="57" t="s">
        <v>46</v>
      </c>
      <c r="N16" s="58"/>
      <c r="O16" s="58"/>
      <c r="P16" s="62"/>
    </row>
    <row r="17" spans="2:16" ht="38.25" customHeight="1">
      <c r="B17" s="63">
        <v>6</v>
      </c>
      <c r="C17" s="117" t="s">
        <v>820</v>
      </c>
      <c r="D17" s="93"/>
      <c r="E17" s="93"/>
      <c r="F17" s="93"/>
      <c r="G17" s="93"/>
      <c r="H17" s="93"/>
      <c r="I17" s="93"/>
      <c r="J17" s="93"/>
      <c r="K17" s="94"/>
      <c r="L17" s="64"/>
      <c r="M17" s="57" t="s">
        <v>46</v>
      </c>
      <c r="N17" s="58"/>
      <c r="O17" s="58"/>
      <c r="P17" s="62"/>
    </row>
    <row r="18" spans="2:16" ht="40.5" customHeight="1">
      <c r="B18" s="41">
        <v>7</v>
      </c>
      <c r="C18" s="117" t="s">
        <v>821</v>
      </c>
      <c r="D18" s="93"/>
      <c r="E18" s="93"/>
      <c r="F18" s="93"/>
      <c r="G18" s="93"/>
      <c r="H18" s="93"/>
      <c r="I18" s="93"/>
      <c r="J18" s="93"/>
      <c r="K18" s="94"/>
      <c r="L18" s="64"/>
      <c r="M18" s="57" t="s">
        <v>46</v>
      </c>
      <c r="N18" s="58"/>
      <c r="O18" s="58"/>
      <c r="P18" s="62"/>
    </row>
    <row r="19" spans="2:16" ht="32.25" customHeight="1">
      <c r="B19" s="63">
        <v>8</v>
      </c>
      <c r="C19" s="117" t="s">
        <v>822</v>
      </c>
      <c r="D19" s="93"/>
      <c r="E19" s="93"/>
      <c r="F19" s="93"/>
      <c r="G19" s="93"/>
      <c r="H19" s="93"/>
      <c r="I19" s="93"/>
      <c r="J19" s="93"/>
      <c r="K19" s="94"/>
      <c r="L19" s="64"/>
      <c r="M19" s="57" t="s">
        <v>46</v>
      </c>
      <c r="N19" s="58"/>
      <c r="O19" s="58"/>
      <c r="P19" s="62"/>
    </row>
    <row r="20" spans="2:16" ht="32.25" customHeight="1">
      <c r="B20" s="63">
        <v>9</v>
      </c>
      <c r="C20" s="117" t="s">
        <v>823</v>
      </c>
      <c r="D20" s="93"/>
      <c r="E20" s="93"/>
      <c r="F20" s="93"/>
      <c r="G20" s="93"/>
      <c r="H20" s="93"/>
      <c r="I20" s="93"/>
      <c r="J20" s="93"/>
      <c r="K20" s="94"/>
      <c r="L20" s="64"/>
      <c r="M20" s="57" t="s">
        <v>46</v>
      </c>
      <c r="N20" s="58"/>
      <c r="O20" s="58"/>
      <c r="P20" s="62"/>
    </row>
    <row r="21" spans="2:16" ht="32.25" customHeight="1">
      <c r="B21" s="41">
        <v>10</v>
      </c>
      <c r="C21" s="117" t="s">
        <v>824</v>
      </c>
      <c r="D21" s="93"/>
      <c r="E21" s="93"/>
      <c r="F21" s="93"/>
      <c r="G21" s="93"/>
      <c r="H21" s="93"/>
      <c r="I21" s="93"/>
      <c r="J21" s="93"/>
      <c r="K21" s="94"/>
      <c r="L21" s="46"/>
      <c r="M21" s="57" t="s">
        <v>46</v>
      </c>
      <c r="N21" s="58"/>
      <c r="O21" s="58"/>
      <c r="P21" s="59"/>
    </row>
    <row r="22" spans="2:16" ht="32.25" customHeight="1">
      <c r="B22" s="63">
        <v>11</v>
      </c>
      <c r="C22" s="117" t="s">
        <v>825</v>
      </c>
      <c r="D22" s="93"/>
      <c r="E22" s="93"/>
      <c r="F22" s="93"/>
      <c r="G22" s="93"/>
      <c r="H22" s="93"/>
      <c r="I22" s="93"/>
      <c r="J22" s="93"/>
      <c r="K22" s="94"/>
      <c r="L22" s="46"/>
      <c r="M22" s="57" t="s">
        <v>46</v>
      </c>
      <c r="N22" s="58"/>
      <c r="O22" s="58"/>
      <c r="P22" s="59"/>
    </row>
    <row r="23" spans="2:16" ht="32.25" customHeight="1">
      <c r="B23" s="63">
        <v>12</v>
      </c>
      <c r="C23" s="117" t="s">
        <v>826</v>
      </c>
      <c r="D23" s="93"/>
      <c r="E23" s="93"/>
      <c r="F23" s="93"/>
      <c r="G23" s="93"/>
      <c r="H23" s="93"/>
      <c r="I23" s="93"/>
      <c r="J23" s="93"/>
      <c r="K23" s="94"/>
      <c r="L23" s="46"/>
      <c r="M23" s="57" t="s">
        <v>46</v>
      </c>
      <c r="N23" s="58"/>
      <c r="O23" s="58"/>
      <c r="P23" s="59"/>
    </row>
    <row r="24" spans="2:16" ht="32.25" customHeight="1">
      <c r="B24" s="41">
        <v>13</v>
      </c>
      <c r="C24" s="117" t="s">
        <v>827</v>
      </c>
      <c r="D24" s="93"/>
      <c r="E24" s="93"/>
      <c r="F24" s="93"/>
      <c r="G24" s="93"/>
      <c r="H24" s="93"/>
      <c r="I24" s="93"/>
      <c r="J24" s="93"/>
      <c r="K24" s="94"/>
      <c r="L24" s="46"/>
      <c r="M24" s="57" t="s">
        <v>46</v>
      </c>
      <c r="N24" s="58"/>
      <c r="O24" s="58"/>
      <c r="P24" s="59"/>
    </row>
    <row r="25" spans="2:16" ht="32.25" customHeight="1">
      <c r="B25" s="63">
        <v>14</v>
      </c>
      <c r="C25" s="117" t="s">
        <v>828</v>
      </c>
      <c r="D25" s="93"/>
      <c r="E25" s="93"/>
      <c r="F25" s="93"/>
      <c r="G25" s="93"/>
      <c r="H25" s="93"/>
      <c r="I25" s="93"/>
      <c r="J25" s="93"/>
      <c r="K25" s="94"/>
      <c r="L25" s="46"/>
      <c r="M25" s="57" t="s">
        <v>46</v>
      </c>
      <c r="N25" s="58"/>
      <c r="O25" s="58"/>
      <c r="P25" s="59"/>
    </row>
    <row r="26" spans="2:16" ht="32.25" customHeight="1">
      <c r="B26" s="63">
        <v>15</v>
      </c>
      <c r="C26" s="117" t="s">
        <v>829</v>
      </c>
      <c r="D26" s="93"/>
      <c r="E26" s="93"/>
      <c r="F26" s="93"/>
      <c r="G26" s="93"/>
      <c r="H26" s="93"/>
      <c r="I26" s="93"/>
      <c r="J26" s="93"/>
      <c r="K26" s="94"/>
      <c r="L26" s="46"/>
      <c r="M26" s="57" t="s">
        <v>46</v>
      </c>
      <c r="N26" s="58"/>
      <c r="O26" s="58"/>
      <c r="P26" s="62"/>
    </row>
    <row r="27" spans="2:16" ht="32.25" customHeight="1">
      <c r="B27" s="41">
        <v>16</v>
      </c>
      <c r="C27" s="117" t="s">
        <v>830</v>
      </c>
      <c r="D27" s="93"/>
      <c r="E27" s="93"/>
      <c r="F27" s="93"/>
      <c r="G27" s="93"/>
      <c r="H27" s="93"/>
      <c r="I27" s="93"/>
      <c r="J27" s="93"/>
      <c r="K27" s="94"/>
      <c r="L27" s="46"/>
      <c r="M27" s="57" t="s">
        <v>46</v>
      </c>
      <c r="N27" s="58"/>
      <c r="O27" s="58"/>
      <c r="P27" s="62"/>
    </row>
    <row r="28" spans="2:16" ht="32.25" customHeight="1">
      <c r="B28" s="63">
        <v>17</v>
      </c>
      <c r="C28" s="117" t="s">
        <v>831</v>
      </c>
      <c r="D28" s="93"/>
      <c r="E28" s="93"/>
      <c r="F28" s="93"/>
      <c r="G28" s="93"/>
      <c r="H28" s="93"/>
      <c r="I28" s="93"/>
      <c r="J28" s="93"/>
      <c r="K28" s="94"/>
      <c r="L28" s="46"/>
      <c r="M28" s="57" t="s">
        <v>46</v>
      </c>
      <c r="N28" s="58"/>
      <c r="O28" s="58"/>
      <c r="P28" s="62"/>
    </row>
    <row r="29" spans="2:16" ht="32.25" customHeight="1">
      <c r="B29" s="63">
        <v>18</v>
      </c>
      <c r="C29" s="117" t="s">
        <v>832</v>
      </c>
      <c r="D29" s="93"/>
      <c r="E29" s="93"/>
      <c r="F29" s="93"/>
      <c r="G29" s="93"/>
      <c r="H29" s="93"/>
      <c r="I29" s="93"/>
      <c r="J29" s="93"/>
      <c r="K29" s="94"/>
      <c r="L29" s="46"/>
      <c r="M29" s="57" t="s">
        <v>46</v>
      </c>
      <c r="N29" s="58"/>
      <c r="O29" s="58"/>
      <c r="P29" s="62"/>
    </row>
    <row r="30" spans="2:16" ht="32.25" customHeight="1">
      <c r="B30" s="41">
        <v>19</v>
      </c>
      <c r="C30" s="117" t="s">
        <v>833</v>
      </c>
      <c r="D30" s="93"/>
      <c r="E30" s="93"/>
      <c r="F30" s="93"/>
      <c r="G30" s="93"/>
      <c r="H30" s="93"/>
      <c r="I30" s="93"/>
      <c r="J30" s="93"/>
      <c r="K30" s="94"/>
      <c r="L30" s="46"/>
      <c r="M30" s="57" t="s">
        <v>46</v>
      </c>
      <c r="N30" s="58"/>
      <c r="O30" s="58"/>
      <c r="P30" s="62"/>
    </row>
    <row r="31" spans="2:16" ht="32.25" customHeight="1">
      <c r="B31" s="63">
        <v>20</v>
      </c>
      <c r="C31" s="117" t="s">
        <v>834</v>
      </c>
      <c r="D31" s="93"/>
      <c r="E31" s="93"/>
      <c r="F31" s="93"/>
      <c r="G31" s="93"/>
      <c r="H31" s="93"/>
      <c r="I31" s="93"/>
      <c r="J31" s="93"/>
      <c r="K31" s="94"/>
      <c r="L31" s="46"/>
      <c r="M31" s="57" t="s">
        <v>46</v>
      </c>
      <c r="N31" s="58"/>
      <c r="O31" s="58"/>
      <c r="P31" s="62"/>
    </row>
    <row r="32" spans="2:16" ht="32.25" customHeight="1">
      <c r="B32" s="63">
        <v>21</v>
      </c>
      <c r="C32" s="117" t="s">
        <v>835</v>
      </c>
      <c r="D32" s="93"/>
      <c r="E32" s="93"/>
      <c r="F32" s="93"/>
      <c r="G32" s="93"/>
      <c r="H32" s="93"/>
      <c r="I32" s="93"/>
      <c r="J32" s="93"/>
      <c r="K32" s="94"/>
      <c r="L32" s="46"/>
      <c r="M32" s="57" t="s">
        <v>46</v>
      </c>
      <c r="N32" s="58"/>
      <c r="O32" s="58"/>
      <c r="P32" s="62"/>
    </row>
    <row r="33" spans="2:16" ht="32.25" customHeight="1">
      <c r="B33" s="41">
        <v>22</v>
      </c>
      <c r="C33" s="117" t="s">
        <v>836</v>
      </c>
      <c r="D33" s="93"/>
      <c r="E33" s="93"/>
      <c r="F33" s="93"/>
      <c r="G33" s="93"/>
      <c r="H33" s="93"/>
      <c r="I33" s="93"/>
      <c r="J33" s="93"/>
      <c r="K33" s="94"/>
      <c r="L33" s="46"/>
      <c r="M33" s="57" t="s">
        <v>46</v>
      </c>
      <c r="N33" s="58"/>
      <c r="O33" s="58"/>
      <c r="P33" s="62"/>
    </row>
    <row r="34" spans="2:16" ht="32.25" customHeight="1">
      <c r="B34" s="63">
        <v>23</v>
      </c>
      <c r="C34" s="117" t="s">
        <v>837</v>
      </c>
      <c r="D34" s="93"/>
      <c r="E34" s="93"/>
      <c r="F34" s="93"/>
      <c r="G34" s="93"/>
      <c r="H34" s="93"/>
      <c r="I34" s="93"/>
      <c r="J34" s="93"/>
      <c r="K34" s="94"/>
      <c r="L34" s="46"/>
      <c r="M34" s="57" t="s">
        <v>46</v>
      </c>
      <c r="N34" s="58"/>
      <c r="O34" s="58"/>
      <c r="P34" s="62"/>
    </row>
    <row r="35" spans="2:16" ht="32.25" customHeight="1">
      <c r="B35" s="63">
        <v>24</v>
      </c>
      <c r="C35" s="117" t="s">
        <v>838</v>
      </c>
      <c r="D35" s="93"/>
      <c r="E35" s="93"/>
      <c r="F35" s="93"/>
      <c r="G35" s="93"/>
      <c r="H35" s="93"/>
      <c r="I35" s="93"/>
      <c r="J35" s="93"/>
      <c r="K35" s="94"/>
      <c r="L35" s="46"/>
      <c r="M35" s="57" t="s">
        <v>46</v>
      </c>
      <c r="N35" s="58"/>
      <c r="O35" s="58"/>
      <c r="P35" s="62"/>
    </row>
    <row r="36" spans="2:16" ht="32.25" customHeight="1">
      <c r="B36" s="41">
        <v>25</v>
      </c>
      <c r="C36" s="117" t="s">
        <v>839</v>
      </c>
      <c r="D36" s="93"/>
      <c r="E36" s="93"/>
      <c r="F36" s="93"/>
      <c r="G36" s="93"/>
      <c r="H36" s="93"/>
      <c r="I36" s="93"/>
      <c r="J36" s="93"/>
      <c r="K36" s="94"/>
      <c r="L36" s="46"/>
      <c r="M36" s="57" t="s">
        <v>46</v>
      </c>
      <c r="N36" s="58"/>
      <c r="O36" s="58"/>
      <c r="P36" s="62"/>
    </row>
    <row r="37" spans="2:16" ht="32.25" customHeight="1">
      <c r="B37" s="63">
        <v>26</v>
      </c>
      <c r="C37" s="117" t="s">
        <v>840</v>
      </c>
      <c r="D37" s="93"/>
      <c r="E37" s="93"/>
      <c r="F37" s="93"/>
      <c r="G37" s="93"/>
      <c r="H37" s="93"/>
      <c r="I37" s="93"/>
      <c r="J37" s="93"/>
      <c r="K37" s="94"/>
      <c r="L37" s="46"/>
      <c r="M37" s="57" t="s">
        <v>46</v>
      </c>
      <c r="N37" s="58"/>
      <c r="O37" s="58"/>
      <c r="P37" s="62"/>
    </row>
    <row r="38" spans="2:16" ht="32.25" customHeight="1">
      <c r="B38" s="63">
        <v>27</v>
      </c>
      <c r="C38" s="117" t="s">
        <v>841</v>
      </c>
      <c r="D38" s="93"/>
      <c r="E38" s="93"/>
      <c r="F38" s="93"/>
      <c r="G38" s="93"/>
      <c r="H38" s="93"/>
      <c r="I38" s="93"/>
      <c r="J38" s="93"/>
      <c r="K38" s="94"/>
      <c r="L38" s="46"/>
      <c r="M38" s="57" t="s">
        <v>46</v>
      </c>
      <c r="N38" s="58"/>
      <c r="O38" s="58"/>
      <c r="P38" s="62"/>
    </row>
    <row r="39" spans="2:16" ht="32.25" customHeight="1">
      <c r="B39" s="41">
        <v>28</v>
      </c>
      <c r="C39" s="117"/>
      <c r="D39" s="93"/>
      <c r="E39" s="93"/>
      <c r="F39" s="93"/>
      <c r="G39" s="93"/>
      <c r="H39" s="93"/>
      <c r="I39" s="93"/>
      <c r="J39" s="93"/>
      <c r="K39" s="94"/>
      <c r="L39" s="46"/>
      <c r="M39" s="57"/>
      <c r="N39" s="58"/>
      <c r="O39" s="58"/>
      <c r="P39" s="62"/>
    </row>
    <row r="40" spans="2:16" ht="32.25" customHeight="1">
      <c r="B40" s="63">
        <v>29</v>
      </c>
      <c r="C40" s="117"/>
      <c r="D40" s="93"/>
      <c r="E40" s="93"/>
      <c r="F40" s="93"/>
      <c r="G40" s="93"/>
      <c r="H40" s="93"/>
      <c r="I40" s="93"/>
      <c r="J40" s="93"/>
      <c r="K40" s="94"/>
      <c r="L40" s="46"/>
      <c r="M40" s="57"/>
      <c r="N40" s="58"/>
      <c r="O40" s="58"/>
      <c r="P40" s="62"/>
    </row>
    <row r="41" spans="2:16" ht="33" customHeight="1">
      <c r="B41" s="63">
        <v>30</v>
      </c>
      <c r="C41" s="117"/>
      <c r="D41" s="93"/>
      <c r="E41" s="93"/>
      <c r="F41" s="93"/>
      <c r="G41" s="93"/>
      <c r="H41" s="93"/>
      <c r="I41" s="93"/>
      <c r="J41" s="93"/>
      <c r="K41" s="94"/>
      <c r="L41" s="46"/>
      <c r="M41" s="57"/>
      <c r="N41" s="58"/>
      <c r="O41" s="58"/>
      <c r="P41" s="59"/>
    </row>
    <row r="42" spans="2:16" ht="32.25" customHeight="1">
      <c r="B42" s="41">
        <v>31</v>
      </c>
      <c r="C42" s="117"/>
      <c r="D42" s="93"/>
      <c r="E42" s="93"/>
      <c r="F42" s="93"/>
      <c r="G42" s="93"/>
      <c r="H42" s="93"/>
      <c r="I42" s="93"/>
      <c r="J42" s="93"/>
      <c r="K42" s="94"/>
      <c r="L42" s="46"/>
      <c r="M42" s="57"/>
      <c r="N42" s="58"/>
      <c r="O42" s="58"/>
      <c r="P42" s="59"/>
    </row>
    <row r="43" spans="2:16" ht="32.25" customHeight="1">
      <c r="B43" s="63">
        <v>32</v>
      </c>
      <c r="C43" s="117"/>
      <c r="D43" s="93"/>
      <c r="E43" s="93"/>
      <c r="F43" s="93"/>
      <c r="G43" s="93"/>
      <c r="H43" s="93"/>
      <c r="I43" s="93"/>
      <c r="J43" s="93"/>
      <c r="K43" s="94"/>
      <c r="L43" s="46"/>
      <c r="M43" s="57"/>
      <c r="N43" s="58"/>
      <c r="O43" s="58"/>
      <c r="P43" s="59"/>
    </row>
    <row r="44" spans="2:16" ht="32.25" customHeight="1">
      <c r="B44" s="63">
        <v>33</v>
      </c>
      <c r="C44" s="117"/>
      <c r="D44" s="93"/>
      <c r="E44" s="93"/>
      <c r="F44" s="93"/>
      <c r="G44" s="93"/>
      <c r="H44" s="93"/>
      <c r="I44" s="93"/>
      <c r="J44" s="93"/>
      <c r="K44" s="94"/>
      <c r="L44" s="46"/>
      <c r="M44" s="57"/>
      <c r="N44" s="58"/>
      <c r="O44" s="58"/>
      <c r="P44" s="59"/>
    </row>
    <row r="45" spans="2:16" ht="33.75" customHeight="1">
      <c r="B45" s="41">
        <v>34</v>
      </c>
      <c r="C45" s="117"/>
      <c r="D45" s="93"/>
      <c r="E45" s="93"/>
      <c r="F45" s="93"/>
      <c r="G45" s="93"/>
      <c r="H45" s="93"/>
      <c r="I45" s="93"/>
      <c r="J45" s="93"/>
      <c r="K45" s="94"/>
      <c r="L45" s="46"/>
      <c r="M45" s="57"/>
      <c r="N45" s="58"/>
      <c r="O45" s="58"/>
      <c r="P45" s="59"/>
    </row>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42">
    <mergeCell ref="P8:P9"/>
    <mergeCell ref="C9:J9"/>
    <mergeCell ref="C2:G2"/>
    <mergeCell ref="C3:G3"/>
    <mergeCell ref="C4:G4"/>
    <mergeCell ref="B5:C5"/>
    <mergeCell ref="M8:O8"/>
    <mergeCell ref="C22:K22"/>
    <mergeCell ref="C11:E11"/>
    <mergeCell ref="C12:K12"/>
    <mergeCell ref="C13:K13"/>
    <mergeCell ref="C14:K14"/>
    <mergeCell ref="C15:K15"/>
    <mergeCell ref="C16:K16"/>
    <mergeCell ref="C17:K17"/>
    <mergeCell ref="C18:K18"/>
    <mergeCell ref="C19:K19"/>
    <mergeCell ref="C20:K20"/>
    <mergeCell ref="C21:K21"/>
    <mergeCell ref="C23:K23"/>
    <mergeCell ref="C24:K24"/>
    <mergeCell ref="C25:K25"/>
    <mergeCell ref="C41:K41"/>
    <mergeCell ref="C26:K26"/>
    <mergeCell ref="C27:K27"/>
    <mergeCell ref="C28:K28"/>
    <mergeCell ref="C29:K29"/>
    <mergeCell ref="C35:K35"/>
    <mergeCell ref="C30:K30"/>
    <mergeCell ref="C31:K31"/>
    <mergeCell ref="C32:K32"/>
    <mergeCell ref="C33:K33"/>
    <mergeCell ref="C34:K34"/>
    <mergeCell ref="C42:K42"/>
    <mergeCell ref="C43:K43"/>
    <mergeCell ref="C44:K44"/>
    <mergeCell ref="C45:K45"/>
    <mergeCell ref="C36:K36"/>
    <mergeCell ref="C38:K38"/>
    <mergeCell ref="C39:K39"/>
    <mergeCell ref="C40:K40"/>
    <mergeCell ref="C37:K37"/>
  </mergeCells>
  <hyperlinks>
    <hyperlink ref="V2" location="'REQ. FUN. GEN'!A1" display="Volver" xr:uid="{98F2FE0E-8BCB-47FA-9BEF-21726F0EEEB2}"/>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V1004"/>
  <sheetViews>
    <sheetView topLeftCell="A25" workbookViewId="0">
      <selection activeCell="M22" sqref="M2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25" t="s">
        <v>431</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2.25" customHeight="1">
      <c r="B12" s="41">
        <v>1</v>
      </c>
      <c r="C12" s="117" t="s">
        <v>703</v>
      </c>
      <c r="D12" s="93"/>
      <c r="E12" s="93"/>
      <c r="F12" s="93"/>
      <c r="G12" s="93"/>
      <c r="H12" s="93"/>
      <c r="I12" s="93"/>
      <c r="J12" s="93"/>
      <c r="K12" s="94"/>
      <c r="L12" s="42"/>
      <c r="M12" s="57" t="s">
        <v>46</v>
      </c>
      <c r="N12" s="58"/>
      <c r="O12" s="58"/>
      <c r="P12" s="59"/>
    </row>
    <row r="13" spans="2:22" ht="32.25" customHeight="1">
      <c r="B13" s="63">
        <v>2</v>
      </c>
      <c r="C13" s="117" t="s">
        <v>737</v>
      </c>
      <c r="D13" s="93"/>
      <c r="E13" s="93"/>
      <c r="F13" s="93"/>
      <c r="G13" s="93"/>
      <c r="H13" s="93"/>
      <c r="I13" s="93"/>
      <c r="J13" s="93"/>
      <c r="K13" s="94"/>
      <c r="L13" s="64"/>
      <c r="M13" s="57" t="s">
        <v>46</v>
      </c>
      <c r="N13" s="58"/>
      <c r="O13" s="58"/>
      <c r="P13" s="62"/>
    </row>
    <row r="14" spans="2:22" ht="32.25" customHeight="1">
      <c r="B14" s="63">
        <v>3</v>
      </c>
      <c r="C14" s="117" t="s">
        <v>738</v>
      </c>
      <c r="D14" s="93"/>
      <c r="E14" s="93"/>
      <c r="F14" s="93"/>
      <c r="G14" s="93"/>
      <c r="H14" s="93"/>
      <c r="I14" s="93"/>
      <c r="J14" s="93"/>
      <c r="K14" s="94"/>
      <c r="L14" s="64"/>
      <c r="M14" s="57" t="s">
        <v>46</v>
      </c>
      <c r="N14" s="58"/>
      <c r="O14" s="58"/>
      <c r="P14" s="62"/>
    </row>
    <row r="15" spans="2:22" ht="32.25" customHeight="1">
      <c r="B15" s="41">
        <v>4</v>
      </c>
      <c r="C15" s="117" t="s">
        <v>739</v>
      </c>
      <c r="D15" s="93"/>
      <c r="E15" s="93"/>
      <c r="F15" s="93"/>
      <c r="G15" s="93"/>
      <c r="H15" s="93"/>
      <c r="I15" s="93"/>
      <c r="J15" s="93"/>
      <c r="K15" s="94"/>
      <c r="L15" s="64"/>
      <c r="M15" s="57" t="s">
        <v>46</v>
      </c>
      <c r="N15" s="58"/>
      <c r="O15" s="58"/>
      <c r="P15" s="62"/>
    </row>
    <row r="16" spans="2:22" ht="32.25" customHeight="1">
      <c r="B16" s="63">
        <v>5</v>
      </c>
      <c r="C16" s="117" t="s">
        <v>740</v>
      </c>
      <c r="D16" s="93"/>
      <c r="E16" s="93"/>
      <c r="F16" s="93"/>
      <c r="G16" s="93"/>
      <c r="H16" s="93"/>
      <c r="I16" s="93"/>
      <c r="J16" s="93"/>
      <c r="K16" s="94"/>
      <c r="L16" s="64"/>
      <c r="M16" s="57" t="s">
        <v>46</v>
      </c>
      <c r="N16" s="58"/>
      <c r="O16" s="58"/>
      <c r="P16" s="62"/>
    </row>
    <row r="17" spans="2:18" ht="51" customHeight="1">
      <c r="B17" s="63">
        <v>6</v>
      </c>
      <c r="C17" s="117" t="s">
        <v>741</v>
      </c>
      <c r="D17" s="93"/>
      <c r="E17" s="93"/>
      <c r="F17" s="93"/>
      <c r="G17" s="93"/>
      <c r="H17" s="93"/>
      <c r="I17" s="93"/>
      <c r="J17" s="93"/>
      <c r="K17" s="94"/>
      <c r="L17" s="64"/>
      <c r="M17" s="57" t="s">
        <v>46</v>
      </c>
      <c r="N17" s="58"/>
      <c r="O17" s="58"/>
      <c r="P17" s="62"/>
    </row>
    <row r="18" spans="2:18" ht="60.75" customHeight="1">
      <c r="B18" s="41">
        <v>7</v>
      </c>
      <c r="C18" s="117" t="s">
        <v>742</v>
      </c>
      <c r="D18" s="93"/>
      <c r="E18" s="93"/>
      <c r="F18" s="93"/>
      <c r="G18" s="93"/>
      <c r="H18" s="93"/>
      <c r="I18" s="93"/>
      <c r="J18" s="93"/>
      <c r="K18" s="94"/>
      <c r="L18" s="64"/>
      <c r="M18" s="57" t="s">
        <v>46</v>
      </c>
      <c r="N18" s="58"/>
      <c r="O18" s="58"/>
      <c r="P18" s="62"/>
    </row>
    <row r="19" spans="2:18" ht="32.25" customHeight="1">
      <c r="B19" s="63">
        <v>8</v>
      </c>
      <c r="C19" s="117" t="s">
        <v>743</v>
      </c>
      <c r="D19" s="93"/>
      <c r="E19" s="93"/>
      <c r="F19" s="93"/>
      <c r="G19" s="93"/>
      <c r="H19" s="93"/>
      <c r="I19" s="93"/>
      <c r="J19" s="93"/>
      <c r="K19" s="94"/>
      <c r="L19" s="64"/>
      <c r="M19" s="57" t="s">
        <v>46</v>
      </c>
      <c r="N19" s="58"/>
      <c r="O19" s="58"/>
      <c r="P19" s="62"/>
    </row>
    <row r="20" spans="2:18" ht="32.25" customHeight="1">
      <c r="B20" s="63">
        <v>9</v>
      </c>
      <c r="C20" s="117" t="s">
        <v>432</v>
      </c>
      <c r="D20" s="93"/>
      <c r="E20" s="93"/>
      <c r="F20" s="93"/>
      <c r="G20" s="93"/>
      <c r="H20" s="93"/>
      <c r="I20" s="93"/>
      <c r="J20" s="93"/>
      <c r="K20" s="94"/>
      <c r="L20" s="64"/>
      <c r="M20" s="57" t="s">
        <v>46</v>
      </c>
      <c r="N20" s="58"/>
      <c r="O20" s="58"/>
      <c r="P20" s="62"/>
    </row>
    <row r="21" spans="2:18" ht="32.25" customHeight="1">
      <c r="B21" s="41">
        <v>10</v>
      </c>
      <c r="C21" s="117" t="s">
        <v>433</v>
      </c>
      <c r="D21" s="93"/>
      <c r="E21" s="93"/>
      <c r="F21" s="93"/>
      <c r="G21" s="93"/>
      <c r="H21" s="93"/>
      <c r="I21" s="93"/>
      <c r="J21" s="93"/>
      <c r="K21" s="94"/>
      <c r="L21" s="46"/>
      <c r="M21" s="57" t="s">
        <v>46</v>
      </c>
      <c r="N21" s="58"/>
      <c r="O21" s="58"/>
      <c r="P21" s="59"/>
    </row>
    <row r="22" spans="2:18" ht="32.25" customHeight="1">
      <c r="B22" s="63">
        <v>11</v>
      </c>
      <c r="C22" s="117" t="s">
        <v>434</v>
      </c>
      <c r="D22" s="93"/>
      <c r="E22" s="93"/>
      <c r="F22" s="93"/>
      <c r="G22" s="93"/>
      <c r="H22" s="93"/>
      <c r="I22" s="93"/>
      <c r="J22" s="93"/>
      <c r="K22" s="94"/>
      <c r="L22" s="46"/>
      <c r="M22" s="57" t="s">
        <v>46</v>
      </c>
      <c r="N22" s="58"/>
      <c r="O22" s="58"/>
      <c r="P22" s="59"/>
    </row>
    <row r="23" spans="2:18" ht="32.25" customHeight="1">
      <c r="B23" s="63">
        <v>12</v>
      </c>
      <c r="C23" s="117" t="s">
        <v>435</v>
      </c>
      <c r="D23" s="93"/>
      <c r="E23" s="93"/>
      <c r="F23" s="93"/>
      <c r="G23" s="93"/>
      <c r="H23" s="93"/>
      <c r="I23" s="93"/>
      <c r="J23" s="93"/>
      <c r="K23" s="94"/>
      <c r="L23" s="46"/>
      <c r="M23" s="57"/>
      <c r="N23" s="58" t="s">
        <v>46</v>
      </c>
      <c r="O23" s="58"/>
      <c r="P23" s="59"/>
    </row>
    <row r="24" spans="2:18" ht="32.25" customHeight="1">
      <c r="B24" s="41">
        <v>13</v>
      </c>
      <c r="C24" s="117" t="s">
        <v>436</v>
      </c>
      <c r="D24" s="93"/>
      <c r="E24" s="93"/>
      <c r="F24" s="93"/>
      <c r="G24" s="93"/>
      <c r="H24" s="93"/>
      <c r="I24" s="93"/>
      <c r="J24" s="93"/>
      <c r="K24" s="94"/>
      <c r="L24" s="46"/>
      <c r="M24" s="68" t="s">
        <v>46</v>
      </c>
      <c r="N24" s="58"/>
      <c r="O24" s="58"/>
      <c r="P24" s="59"/>
      <c r="R24" s="80" t="s">
        <v>910</v>
      </c>
    </row>
    <row r="25" spans="2:18" ht="32.25" customHeight="1">
      <c r="B25" s="63">
        <v>14</v>
      </c>
      <c r="C25" s="117" t="s">
        <v>437</v>
      </c>
      <c r="D25" s="93"/>
      <c r="E25" s="93"/>
      <c r="F25" s="93"/>
      <c r="G25" s="93"/>
      <c r="H25" s="93"/>
      <c r="I25" s="93"/>
      <c r="J25" s="93"/>
      <c r="K25" s="94"/>
      <c r="L25" s="46"/>
      <c r="M25" s="57"/>
      <c r="N25" s="58" t="s">
        <v>46</v>
      </c>
      <c r="O25" s="58"/>
      <c r="P25" s="59"/>
    </row>
    <row r="26" spans="2:18" ht="33" customHeight="1">
      <c r="B26" s="63">
        <v>15</v>
      </c>
      <c r="C26" s="117" t="s">
        <v>438</v>
      </c>
      <c r="D26" s="93"/>
      <c r="E26" s="93"/>
      <c r="F26" s="93"/>
      <c r="G26" s="93"/>
      <c r="H26" s="93"/>
      <c r="I26" s="93"/>
      <c r="J26" s="93"/>
      <c r="K26" s="94"/>
      <c r="L26" s="46"/>
      <c r="M26" s="57"/>
      <c r="N26" s="58" t="s">
        <v>46</v>
      </c>
      <c r="O26" s="58"/>
      <c r="P26" s="59"/>
    </row>
    <row r="27" spans="2:18" ht="32.25" customHeight="1">
      <c r="B27" s="63">
        <v>17</v>
      </c>
      <c r="C27" s="117" t="s">
        <v>439</v>
      </c>
      <c r="D27" s="93"/>
      <c r="E27" s="93"/>
      <c r="F27" s="93"/>
      <c r="G27" s="93"/>
      <c r="H27" s="93"/>
      <c r="I27" s="93"/>
      <c r="J27" s="93"/>
      <c r="K27" s="94"/>
      <c r="L27" s="46"/>
      <c r="M27" s="57" t="s">
        <v>46</v>
      </c>
      <c r="N27" s="58"/>
      <c r="O27" s="58"/>
      <c r="P27" s="59"/>
    </row>
    <row r="28" spans="2:18" ht="32.25" customHeight="1">
      <c r="B28" s="63">
        <v>18</v>
      </c>
      <c r="C28" s="117" t="s">
        <v>440</v>
      </c>
      <c r="D28" s="93"/>
      <c r="E28" s="93"/>
      <c r="F28" s="93"/>
      <c r="G28" s="93"/>
      <c r="H28" s="93"/>
      <c r="I28" s="93"/>
      <c r="J28" s="93"/>
      <c r="K28" s="94"/>
      <c r="L28" s="46"/>
      <c r="M28" s="57" t="s">
        <v>46</v>
      </c>
      <c r="N28" s="58"/>
      <c r="O28" s="58"/>
      <c r="P28" s="59"/>
    </row>
    <row r="29" spans="2:18" ht="33.75" customHeight="1">
      <c r="B29" s="41">
        <v>19</v>
      </c>
      <c r="C29" s="117"/>
      <c r="D29" s="93"/>
      <c r="E29" s="93"/>
      <c r="F29" s="93"/>
      <c r="G29" s="93"/>
      <c r="H29" s="93"/>
      <c r="I29" s="93"/>
      <c r="J29" s="93"/>
      <c r="K29" s="94"/>
      <c r="L29" s="46"/>
      <c r="M29" s="57"/>
      <c r="N29" s="58"/>
      <c r="O29" s="58"/>
      <c r="P29" s="59"/>
    </row>
    <row r="30" spans="2:18" ht="14.25" customHeight="1"/>
    <row r="31" spans="2:18" ht="14.25" customHeight="1"/>
    <row r="32" spans="2:18" ht="14.25" customHeight="1">
      <c r="B32" s="35"/>
      <c r="C32" s="125" t="s">
        <v>441</v>
      </c>
      <c r="D32" s="99"/>
      <c r="E32" s="99"/>
      <c r="F32" s="99"/>
      <c r="G32" s="99"/>
      <c r="H32" s="99"/>
      <c r="I32" s="99"/>
      <c r="J32" s="100"/>
      <c r="K32" s="36"/>
    </row>
    <row r="33" spans="2:18" ht="14.25" customHeight="1"/>
    <row r="34" spans="2:18" ht="14.25" customHeight="1">
      <c r="B34" s="40"/>
      <c r="C34" s="120"/>
      <c r="D34" s="109"/>
      <c r="E34" s="110"/>
      <c r="F34" s="36"/>
      <c r="G34" s="36"/>
      <c r="H34" s="36"/>
      <c r="I34" s="36"/>
      <c r="J34" s="36"/>
      <c r="K34" s="36"/>
    </row>
    <row r="35" spans="2:18" ht="32.25" customHeight="1">
      <c r="B35" s="41">
        <v>1</v>
      </c>
      <c r="C35" s="117" t="s">
        <v>442</v>
      </c>
      <c r="D35" s="93"/>
      <c r="E35" s="93"/>
      <c r="F35" s="93"/>
      <c r="G35" s="93"/>
      <c r="H35" s="93"/>
      <c r="I35" s="93"/>
      <c r="J35" s="93"/>
      <c r="K35" s="94"/>
      <c r="L35" s="42"/>
      <c r="M35" s="57" t="s">
        <v>46</v>
      </c>
      <c r="N35" s="58"/>
      <c r="O35" s="58"/>
      <c r="P35" s="59"/>
    </row>
    <row r="36" spans="2:18" ht="32.25" customHeight="1">
      <c r="B36" s="35">
        <v>2</v>
      </c>
      <c r="C36" s="117" t="s">
        <v>443</v>
      </c>
      <c r="D36" s="93"/>
      <c r="E36" s="93"/>
      <c r="F36" s="93"/>
      <c r="G36" s="93"/>
      <c r="H36" s="93"/>
      <c r="I36" s="93"/>
      <c r="J36" s="93"/>
      <c r="K36" s="94"/>
      <c r="L36" s="44"/>
      <c r="M36" s="57" t="s">
        <v>46</v>
      </c>
      <c r="N36" s="58"/>
      <c r="O36" s="58"/>
      <c r="P36" s="59"/>
    </row>
    <row r="37" spans="2:18" ht="32.25" customHeight="1">
      <c r="B37" s="41">
        <v>3</v>
      </c>
      <c r="C37" s="117" t="s">
        <v>444</v>
      </c>
      <c r="D37" s="93"/>
      <c r="E37" s="93"/>
      <c r="F37" s="93"/>
      <c r="G37" s="93"/>
      <c r="H37" s="93"/>
      <c r="I37" s="93"/>
      <c r="J37" s="93"/>
      <c r="K37" s="94"/>
      <c r="M37" s="57" t="s">
        <v>46</v>
      </c>
      <c r="N37" s="58"/>
      <c r="O37" s="58"/>
      <c r="P37" s="59"/>
    </row>
    <row r="38" spans="2:18" ht="32.25" customHeight="1">
      <c r="B38" s="41">
        <v>4</v>
      </c>
      <c r="C38" s="117" t="s">
        <v>445</v>
      </c>
      <c r="D38" s="93"/>
      <c r="E38" s="93"/>
      <c r="F38" s="93"/>
      <c r="G38" s="93"/>
      <c r="H38" s="93"/>
      <c r="I38" s="93"/>
      <c r="J38" s="93"/>
      <c r="K38" s="94"/>
      <c r="M38" s="57" t="s">
        <v>46</v>
      </c>
      <c r="N38" s="58"/>
      <c r="O38" s="58"/>
      <c r="P38" s="59"/>
    </row>
    <row r="39" spans="2:18" ht="32.25" customHeight="1">
      <c r="B39" s="35">
        <v>5</v>
      </c>
      <c r="C39" s="117" t="s">
        <v>446</v>
      </c>
      <c r="D39" s="93"/>
      <c r="E39" s="93"/>
      <c r="F39" s="93"/>
      <c r="G39" s="93"/>
      <c r="H39" s="93"/>
      <c r="I39" s="93"/>
      <c r="J39" s="93"/>
      <c r="K39" s="94"/>
      <c r="L39" s="42"/>
      <c r="M39" s="57" t="s">
        <v>46</v>
      </c>
      <c r="N39" s="58"/>
      <c r="O39" s="58"/>
      <c r="P39" s="59"/>
    </row>
    <row r="40" spans="2:18" ht="32.25" customHeight="1">
      <c r="B40" s="41">
        <v>6</v>
      </c>
      <c r="C40" s="117" t="s">
        <v>447</v>
      </c>
      <c r="D40" s="93"/>
      <c r="E40" s="93"/>
      <c r="F40" s="93"/>
      <c r="G40" s="93"/>
      <c r="H40" s="93"/>
      <c r="I40" s="93"/>
      <c r="J40" s="93"/>
      <c r="K40" s="94"/>
      <c r="L40" s="46"/>
      <c r="M40" s="57" t="s">
        <v>46</v>
      </c>
      <c r="N40" s="58"/>
      <c r="O40" s="58"/>
      <c r="P40" s="59"/>
      <c r="R40" s="47" t="s">
        <v>842</v>
      </c>
    </row>
    <row r="41" spans="2:18" ht="32.25" customHeight="1">
      <c r="B41" s="41">
        <v>7</v>
      </c>
      <c r="C41" s="117" t="s">
        <v>448</v>
      </c>
      <c r="D41" s="93"/>
      <c r="E41" s="93"/>
      <c r="F41" s="93"/>
      <c r="G41" s="93"/>
      <c r="H41" s="93"/>
      <c r="I41" s="93"/>
      <c r="J41" s="93"/>
      <c r="K41" s="94"/>
      <c r="L41" s="46"/>
      <c r="M41" s="57" t="s">
        <v>46</v>
      </c>
      <c r="N41" s="58"/>
      <c r="O41" s="58"/>
      <c r="P41" s="59"/>
    </row>
    <row r="42" spans="2:18" ht="32.25" customHeight="1">
      <c r="B42" s="41">
        <v>10</v>
      </c>
      <c r="C42" s="117"/>
      <c r="D42" s="93"/>
      <c r="E42" s="93"/>
      <c r="F42" s="93"/>
      <c r="G42" s="93"/>
      <c r="H42" s="93"/>
      <c r="I42" s="93"/>
      <c r="J42" s="93"/>
      <c r="K42" s="94"/>
      <c r="L42" s="46"/>
      <c r="M42" s="57"/>
      <c r="N42" s="58"/>
      <c r="O42" s="58"/>
      <c r="P42" s="59"/>
    </row>
    <row r="43" spans="2:18" ht="32.25" customHeight="1">
      <c r="B43" s="35">
        <v>11</v>
      </c>
      <c r="C43" s="117"/>
      <c r="D43" s="93"/>
      <c r="E43" s="93"/>
      <c r="F43" s="93"/>
      <c r="G43" s="93"/>
      <c r="H43" s="93"/>
      <c r="I43" s="93"/>
      <c r="J43" s="93"/>
      <c r="K43" s="94"/>
      <c r="L43" s="46"/>
      <c r="M43" s="57"/>
      <c r="N43" s="58"/>
      <c r="O43" s="58"/>
      <c r="P43" s="59"/>
    </row>
    <row r="44" spans="2:18" ht="32.25" customHeight="1">
      <c r="B44" s="41">
        <v>12</v>
      </c>
      <c r="C44" s="117"/>
      <c r="D44" s="93"/>
      <c r="E44" s="93"/>
      <c r="F44" s="93"/>
      <c r="G44" s="93"/>
      <c r="H44" s="93"/>
      <c r="I44" s="93"/>
      <c r="J44" s="93"/>
      <c r="K44" s="94"/>
      <c r="L44" s="44"/>
      <c r="M44" s="57"/>
      <c r="N44" s="58"/>
      <c r="O44" s="58"/>
      <c r="P44" s="59"/>
    </row>
    <row r="45" spans="2:18" ht="14.25" customHeight="1"/>
    <row r="46" spans="2:18" ht="14.25" customHeight="1"/>
    <row r="47" spans="2:18" ht="14.25" customHeight="1"/>
    <row r="48" spans="2: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38">
    <mergeCell ref="C2:G2"/>
    <mergeCell ref="C3:G3"/>
    <mergeCell ref="C4:G4"/>
    <mergeCell ref="B5:C5"/>
    <mergeCell ref="M8:O8"/>
    <mergeCell ref="P8:P9"/>
    <mergeCell ref="C9:J9"/>
    <mergeCell ref="C11:E11"/>
    <mergeCell ref="C12:K12"/>
    <mergeCell ref="C21:K21"/>
    <mergeCell ref="C13:K13"/>
    <mergeCell ref="C14:K14"/>
    <mergeCell ref="C15:K15"/>
    <mergeCell ref="C16:K16"/>
    <mergeCell ref="C17:K17"/>
    <mergeCell ref="C18:K18"/>
    <mergeCell ref="C19:K19"/>
    <mergeCell ref="C20:K20"/>
    <mergeCell ref="C22:K22"/>
    <mergeCell ref="C23:K23"/>
    <mergeCell ref="C24:K24"/>
    <mergeCell ref="C25:K25"/>
    <mergeCell ref="C26:K26"/>
    <mergeCell ref="C27:K27"/>
    <mergeCell ref="C28:K28"/>
    <mergeCell ref="C29:K29"/>
    <mergeCell ref="C32:J32"/>
    <mergeCell ref="C34:E34"/>
    <mergeCell ref="C42:K42"/>
    <mergeCell ref="C43:K43"/>
    <mergeCell ref="C44:K44"/>
    <mergeCell ref="C35:K35"/>
    <mergeCell ref="C36:K36"/>
    <mergeCell ref="C37:K37"/>
    <mergeCell ref="C38:K38"/>
    <mergeCell ref="C39:K39"/>
    <mergeCell ref="C40:K40"/>
    <mergeCell ref="C41:K41"/>
  </mergeCells>
  <hyperlinks>
    <hyperlink ref="V2" location="'REQ. FUN. GEN'!A1" display="Volver" xr:uid="{00000000-0004-0000-1400-000000000000}"/>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V1087"/>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25" t="s">
        <v>449</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6" customHeight="1">
      <c r="B12" s="41">
        <v>1</v>
      </c>
      <c r="C12" s="134" t="s">
        <v>866</v>
      </c>
      <c r="D12" s="93"/>
      <c r="E12" s="93"/>
      <c r="F12" s="93"/>
      <c r="G12" s="93"/>
      <c r="H12" s="93"/>
      <c r="I12" s="93"/>
      <c r="J12" s="93"/>
      <c r="K12" s="94"/>
      <c r="L12" s="42"/>
      <c r="M12" s="57" t="s">
        <v>46</v>
      </c>
      <c r="N12" s="58"/>
      <c r="O12" s="58"/>
      <c r="P12" s="59"/>
    </row>
    <row r="13" spans="2:22" ht="30" customHeight="1">
      <c r="B13" s="63">
        <v>2</v>
      </c>
      <c r="C13" s="117" t="s">
        <v>844</v>
      </c>
      <c r="D13" s="93"/>
      <c r="E13" s="93"/>
      <c r="F13" s="93"/>
      <c r="G13" s="93"/>
      <c r="H13" s="93"/>
      <c r="I13" s="93"/>
      <c r="J13" s="93"/>
      <c r="K13" s="94"/>
      <c r="L13" s="64"/>
      <c r="M13" s="57" t="s">
        <v>46</v>
      </c>
      <c r="N13" s="58"/>
      <c r="O13" s="58"/>
      <c r="P13" s="62"/>
    </row>
    <row r="14" spans="2:22" ht="32.25" customHeight="1">
      <c r="B14" s="63">
        <v>3</v>
      </c>
      <c r="C14" s="117" t="s">
        <v>845</v>
      </c>
      <c r="D14" s="93"/>
      <c r="E14" s="93"/>
      <c r="F14" s="93"/>
      <c r="G14" s="93"/>
      <c r="H14" s="93"/>
      <c r="I14" s="93"/>
      <c r="J14" s="93"/>
      <c r="K14" s="94"/>
      <c r="L14" s="64"/>
      <c r="M14" s="57" t="s">
        <v>46</v>
      </c>
      <c r="N14" s="58"/>
      <c r="O14" s="58"/>
      <c r="P14" s="62"/>
    </row>
    <row r="15" spans="2:22" ht="36" customHeight="1">
      <c r="B15" s="41">
        <v>4</v>
      </c>
      <c r="C15" s="117" t="s">
        <v>846</v>
      </c>
      <c r="D15" s="93"/>
      <c r="E15" s="93"/>
      <c r="F15" s="93"/>
      <c r="G15" s="93"/>
      <c r="H15" s="93"/>
      <c r="I15" s="93"/>
      <c r="J15" s="93"/>
      <c r="K15" s="94"/>
      <c r="L15" s="64"/>
      <c r="M15" s="57" t="s">
        <v>46</v>
      </c>
      <c r="N15" s="58"/>
      <c r="O15" s="58"/>
      <c r="P15" s="62"/>
    </row>
    <row r="16" spans="2:22" ht="26.25" customHeight="1">
      <c r="B16" s="63">
        <v>5</v>
      </c>
      <c r="C16" s="117" t="s">
        <v>847</v>
      </c>
      <c r="D16" s="93"/>
      <c r="E16" s="93"/>
      <c r="F16" s="93"/>
      <c r="G16" s="93"/>
      <c r="H16" s="93"/>
      <c r="I16" s="93"/>
      <c r="J16" s="93"/>
      <c r="K16" s="94"/>
      <c r="L16" s="64"/>
      <c r="M16" s="57" t="s">
        <v>46</v>
      </c>
      <c r="N16" s="58"/>
      <c r="O16" s="58"/>
      <c r="P16" s="62"/>
    </row>
    <row r="17" spans="2:16" ht="33" customHeight="1">
      <c r="B17" s="63">
        <v>6</v>
      </c>
      <c r="C17" s="117" t="s">
        <v>848</v>
      </c>
      <c r="D17" s="93"/>
      <c r="E17" s="93"/>
      <c r="F17" s="93"/>
      <c r="G17" s="93"/>
      <c r="H17" s="93"/>
      <c r="I17" s="93"/>
      <c r="J17" s="93"/>
      <c r="K17" s="94"/>
      <c r="L17" s="64"/>
      <c r="M17" s="57" t="s">
        <v>46</v>
      </c>
      <c r="N17" s="58"/>
      <c r="O17" s="58"/>
      <c r="P17" s="62"/>
    </row>
    <row r="18" spans="2:16" ht="30" customHeight="1">
      <c r="B18" s="41">
        <v>7</v>
      </c>
      <c r="C18" s="117" t="s">
        <v>849</v>
      </c>
      <c r="D18" s="93"/>
      <c r="E18" s="93"/>
      <c r="F18" s="93"/>
      <c r="G18" s="93"/>
      <c r="H18" s="93"/>
      <c r="I18" s="93"/>
      <c r="J18" s="93"/>
      <c r="K18" s="94"/>
      <c r="L18" s="64"/>
      <c r="M18" s="57" t="s">
        <v>46</v>
      </c>
      <c r="N18" s="58"/>
      <c r="O18" s="58"/>
      <c r="P18" s="62"/>
    </row>
    <row r="19" spans="2:16" ht="39" customHeight="1">
      <c r="B19" s="63">
        <v>8</v>
      </c>
      <c r="C19" s="134" t="s">
        <v>865</v>
      </c>
      <c r="D19" s="93"/>
      <c r="E19" s="93"/>
      <c r="F19" s="93"/>
      <c r="G19" s="93"/>
      <c r="H19" s="93"/>
      <c r="I19" s="93"/>
      <c r="J19" s="93"/>
      <c r="K19" s="94"/>
      <c r="L19" s="64"/>
      <c r="M19" s="57" t="s">
        <v>46</v>
      </c>
      <c r="N19" s="58"/>
      <c r="O19" s="58"/>
      <c r="P19" s="62"/>
    </row>
    <row r="20" spans="2:16" ht="21.75" customHeight="1">
      <c r="B20" s="63">
        <v>9</v>
      </c>
      <c r="C20" s="117" t="s">
        <v>850</v>
      </c>
      <c r="D20" s="93"/>
      <c r="E20" s="93"/>
      <c r="F20" s="93"/>
      <c r="G20" s="93"/>
      <c r="H20" s="93"/>
      <c r="I20" s="93"/>
      <c r="J20" s="93"/>
      <c r="K20" s="94"/>
      <c r="L20" s="64"/>
      <c r="M20" s="57" t="s">
        <v>46</v>
      </c>
      <c r="N20" s="58"/>
      <c r="O20" s="58"/>
      <c r="P20" s="62"/>
    </row>
    <row r="21" spans="2:16" ht="24.75" customHeight="1">
      <c r="B21" s="41">
        <v>10</v>
      </c>
      <c r="C21" s="117" t="s">
        <v>851</v>
      </c>
      <c r="D21" s="93"/>
      <c r="E21" s="93"/>
      <c r="F21" s="93"/>
      <c r="G21" s="93"/>
      <c r="H21" s="93"/>
      <c r="I21" s="93"/>
      <c r="J21" s="93"/>
      <c r="K21" s="94"/>
      <c r="L21" s="64"/>
      <c r="M21" s="57" t="s">
        <v>46</v>
      </c>
      <c r="N21" s="58"/>
      <c r="O21" s="58"/>
      <c r="P21" s="62"/>
    </row>
    <row r="22" spans="2:16" ht="26.25" customHeight="1">
      <c r="B22" s="63">
        <v>11</v>
      </c>
      <c r="C22" s="117" t="s">
        <v>852</v>
      </c>
      <c r="D22" s="93"/>
      <c r="E22" s="93"/>
      <c r="F22" s="93"/>
      <c r="G22" s="93"/>
      <c r="H22" s="93"/>
      <c r="I22" s="93"/>
      <c r="J22" s="93"/>
      <c r="K22" s="94"/>
      <c r="L22" s="64"/>
      <c r="M22" s="57" t="s">
        <v>46</v>
      </c>
      <c r="N22" s="58"/>
      <c r="O22" s="58"/>
      <c r="P22" s="62"/>
    </row>
    <row r="23" spans="2:16" ht="25.5" customHeight="1">
      <c r="B23" s="63">
        <v>12</v>
      </c>
      <c r="C23" s="117" t="s">
        <v>853</v>
      </c>
      <c r="D23" s="93"/>
      <c r="E23" s="93"/>
      <c r="F23" s="93"/>
      <c r="G23" s="93"/>
      <c r="H23" s="93"/>
      <c r="I23" s="93"/>
      <c r="J23" s="93"/>
      <c r="K23" s="94"/>
      <c r="L23" s="64"/>
      <c r="M23" s="57" t="s">
        <v>46</v>
      </c>
      <c r="N23" s="58"/>
      <c r="O23" s="58"/>
      <c r="P23" s="62"/>
    </row>
    <row r="24" spans="2:16" ht="28.5" customHeight="1">
      <c r="B24" s="41">
        <v>13</v>
      </c>
      <c r="C24" s="117" t="s">
        <v>854</v>
      </c>
      <c r="D24" s="93"/>
      <c r="E24" s="93"/>
      <c r="F24" s="93"/>
      <c r="G24" s="93"/>
      <c r="H24" s="93"/>
      <c r="I24" s="93"/>
      <c r="J24" s="93"/>
      <c r="K24" s="94"/>
      <c r="L24" s="64"/>
      <c r="M24" s="57" t="s">
        <v>46</v>
      </c>
      <c r="N24" s="58"/>
      <c r="O24" s="58"/>
      <c r="P24" s="62"/>
    </row>
    <row r="25" spans="2:16" ht="31.5" customHeight="1">
      <c r="B25" s="63">
        <v>14</v>
      </c>
      <c r="C25" s="117" t="s">
        <v>855</v>
      </c>
      <c r="D25" s="93"/>
      <c r="E25" s="93"/>
      <c r="F25" s="93"/>
      <c r="G25" s="93"/>
      <c r="H25" s="93"/>
      <c r="I25" s="93"/>
      <c r="J25" s="93"/>
      <c r="K25" s="94"/>
      <c r="L25" s="64"/>
      <c r="M25" s="57" t="s">
        <v>46</v>
      </c>
      <c r="N25" s="58"/>
      <c r="O25" s="58"/>
      <c r="P25" s="62"/>
    </row>
    <row r="26" spans="2:16" ht="29.25" customHeight="1">
      <c r="B26" s="63">
        <v>15</v>
      </c>
      <c r="C26" s="117" t="s">
        <v>856</v>
      </c>
      <c r="D26" s="93"/>
      <c r="E26" s="93"/>
      <c r="F26" s="93"/>
      <c r="G26" s="93"/>
      <c r="H26" s="93"/>
      <c r="I26" s="93"/>
      <c r="J26" s="93"/>
      <c r="K26" s="94"/>
      <c r="L26" s="64"/>
      <c r="M26" s="57" t="s">
        <v>46</v>
      </c>
      <c r="N26" s="58"/>
      <c r="O26" s="58"/>
      <c r="P26" s="62"/>
    </row>
    <row r="27" spans="2:16" ht="24.75" customHeight="1">
      <c r="B27" s="41">
        <v>16</v>
      </c>
      <c r="C27" s="117" t="s">
        <v>857</v>
      </c>
      <c r="D27" s="93"/>
      <c r="E27" s="93"/>
      <c r="F27" s="93"/>
      <c r="G27" s="93"/>
      <c r="H27" s="93"/>
      <c r="I27" s="93"/>
      <c r="J27" s="93"/>
      <c r="K27" s="94"/>
      <c r="L27" s="64"/>
      <c r="M27" s="57" t="s">
        <v>46</v>
      </c>
      <c r="N27" s="58"/>
      <c r="O27" s="58"/>
      <c r="P27" s="62"/>
    </row>
    <row r="28" spans="2:16" ht="30" customHeight="1">
      <c r="B28" s="63">
        <v>17</v>
      </c>
      <c r="C28" s="117" t="s">
        <v>858</v>
      </c>
      <c r="D28" s="93"/>
      <c r="E28" s="93"/>
      <c r="F28" s="93"/>
      <c r="G28" s="93"/>
      <c r="H28" s="93"/>
      <c r="I28" s="93"/>
      <c r="J28" s="93"/>
      <c r="K28" s="94"/>
      <c r="L28" s="64"/>
      <c r="M28" s="57" t="s">
        <v>46</v>
      </c>
      <c r="N28" s="58"/>
      <c r="O28" s="58"/>
      <c r="P28" s="62"/>
    </row>
    <row r="29" spans="2:16" ht="33" customHeight="1">
      <c r="B29" s="63">
        <v>18</v>
      </c>
      <c r="C29" s="134" t="s">
        <v>867</v>
      </c>
      <c r="D29" s="93"/>
      <c r="E29" s="93"/>
      <c r="F29" s="93"/>
      <c r="G29" s="93"/>
      <c r="H29" s="93"/>
      <c r="I29" s="93"/>
      <c r="J29" s="93"/>
      <c r="K29" s="94"/>
      <c r="L29" s="64"/>
      <c r="M29" s="57" t="s">
        <v>46</v>
      </c>
      <c r="N29" s="58"/>
      <c r="O29" s="58"/>
      <c r="P29" s="62"/>
    </row>
    <row r="30" spans="2:16" ht="26.25" customHeight="1">
      <c r="B30" s="41">
        <v>19</v>
      </c>
      <c r="C30" s="117" t="s">
        <v>859</v>
      </c>
      <c r="D30" s="93"/>
      <c r="E30" s="93"/>
      <c r="F30" s="93"/>
      <c r="G30" s="93"/>
      <c r="H30" s="93"/>
      <c r="I30" s="93"/>
      <c r="J30" s="93"/>
      <c r="K30" s="94"/>
      <c r="L30" s="64"/>
      <c r="M30" s="57" t="s">
        <v>46</v>
      </c>
      <c r="N30" s="58"/>
      <c r="O30" s="58"/>
      <c r="P30" s="62"/>
    </row>
    <row r="31" spans="2:16" ht="29.25" customHeight="1">
      <c r="B31" s="63">
        <v>20</v>
      </c>
      <c r="C31" s="117" t="s">
        <v>860</v>
      </c>
      <c r="D31" s="93"/>
      <c r="E31" s="93"/>
      <c r="F31" s="93"/>
      <c r="G31" s="93"/>
      <c r="H31" s="93"/>
      <c r="I31" s="93"/>
      <c r="J31" s="93"/>
      <c r="K31" s="94"/>
      <c r="L31" s="64"/>
      <c r="M31" s="57" t="s">
        <v>46</v>
      </c>
      <c r="N31" s="58"/>
      <c r="O31" s="58"/>
      <c r="P31" s="62"/>
    </row>
    <row r="32" spans="2:16" ht="24.75" customHeight="1">
      <c r="B32" s="63">
        <v>21</v>
      </c>
      <c r="C32" s="117" t="s">
        <v>861</v>
      </c>
      <c r="D32" s="93"/>
      <c r="E32" s="93"/>
      <c r="F32" s="93"/>
      <c r="G32" s="93"/>
      <c r="H32" s="93"/>
      <c r="I32" s="93"/>
      <c r="J32" s="93"/>
      <c r="K32" s="94"/>
      <c r="L32" s="64"/>
      <c r="M32" s="57" t="s">
        <v>46</v>
      </c>
      <c r="N32" s="58"/>
      <c r="O32" s="58"/>
      <c r="P32" s="62"/>
    </row>
    <row r="33" spans="2:16" ht="24" customHeight="1">
      <c r="B33" s="41">
        <v>22</v>
      </c>
      <c r="C33" s="117" t="s">
        <v>862</v>
      </c>
      <c r="D33" s="93"/>
      <c r="E33" s="93"/>
      <c r="F33" s="93"/>
      <c r="G33" s="93"/>
      <c r="H33" s="93"/>
      <c r="I33" s="93"/>
      <c r="J33" s="93"/>
      <c r="K33" s="94"/>
      <c r="L33" s="64"/>
      <c r="M33" s="57" t="s">
        <v>46</v>
      </c>
      <c r="N33" s="58"/>
      <c r="O33" s="58"/>
      <c r="P33" s="62"/>
    </row>
    <row r="34" spans="2:16" ht="22.5" customHeight="1">
      <c r="B34" s="63">
        <v>23</v>
      </c>
      <c r="C34" s="117" t="s">
        <v>863</v>
      </c>
      <c r="D34" s="93"/>
      <c r="E34" s="93"/>
      <c r="F34" s="93"/>
      <c r="G34" s="93"/>
      <c r="H34" s="93"/>
      <c r="I34" s="93"/>
      <c r="J34" s="93"/>
      <c r="K34" s="94"/>
      <c r="L34" s="64"/>
      <c r="M34" s="57" t="s">
        <v>46</v>
      </c>
      <c r="N34" s="58"/>
      <c r="O34" s="58"/>
      <c r="P34" s="62"/>
    </row>
    <row r="35" spans="2:16" ht="28.5" customHeight="1">
      <c r="B35" s="63">
        <v>24</v>
      </c>
      <c r="C35" s="117" t="s">
        <v>864</v>
      </c>
      <c r="D35" s="93"/>
      <c r="E35" s="93"/>
      <c r="F35" s="93"/>
      <c r="G35" s="93"/>
      <c r="H35" s="93"/>
      <c r="I35" s="93"/>
      <c r="J35" s="93"/>
      <c r="K35" s="94"/>
      <c r="L35" s="64"/>
      <c r="M35" s="57" t="s">
        <v>46</v>
      </c>
      <c r="N35" s="58"/>
      <c r="O35" s="58"/>
      <c r="P35" s="62"/>
    </row>
    <row r="36" spans="2:16" ht="14.25" customHeight="1">
      <c r="B36" s="41">
        <v>25</v>
      </c>
      <c r="C36" s="134" t="s">
        <v>868</v>
      </c>
      <c r="D36" s="93"/>
      <c r="E36" s="93"/>
      <c r="F36" s="93"/>
      <c r="G36" s="93"/>
      <c r="H36" s="93"/>
      <c r="I36" s="93"/>
      <c r="J36" s="93"/>
      <c r="K36" s="94"/>
      <c r="L36" s="64"/>
      <c r="M36" s="57" t="s">
        <v>46</v>
      </c>
      <c r="N36" s="58"/>
      <c r="O36" s="58"/>
      <c r="P36" s="62"/>
    </row>
    <row r="37" spans="2:16" ht="14.25" customHeight="1">
      <c r="B37" s="63">
        <v>26</v>
      </c>
      <c r="C37" s="134" t="s">
        <v>869</v>
      </c>
      <c r="D37" s="93"/>
      <c r="E37" s="93"/>
      <c r="F37" s="93"/>
      <c r="G37" s="93"/>
      <c r="H37" s="93"/>
      <c r="I37" s="93"/>
      <c r="J37" s="93"/>
      <c r="K37" s="94"/>
      <c r="L37" s="64"/>
      <c r="M37" s="57" t="s">
        <v>46</v>
      </c>
      <c r="N37" s="58"/>
      <c r="O37" s="58"/>
      <c r="P37" s="62"/>
    </row>
    <row r="38" spans="2:16" ht="14.25" customHeight="1">
      <c r="B38" s="63">
        <v>27</v>
      </c>
      <c r="C38" s="134" t="s">
        <v>870</v>
      </c>
      <c r="D38" s="93"/>
      <c r="E38" s="93"/>
      <c r="F38" s="93"/>
      <c r="G38" s="93"/>
      <c r="H38" s="93"/>
      <c r="I38" s="93"/>
      <c r="J38" s="93"/>
      <c r="K38" s="94"/>
      <c r="L38" s="64"/>
      <c r="M38" s="57" t="s">
        <v>46</v>
      </c>
      <c r="N38" s="58"/>
      <c r="O38" s="58"/>
      <c r="P38" s="62"/>
    </row>
    <row r="39" spans="2:16" ht="14.25" customHeight="1">
      <c r="B39" s="41">
        <v>28</v>
      </c>
      <c r="C39" s="134" t="s">
        <v>871</v>
      </c>
      <c r="D39" s="93"/>
      <c r="E39" s="93"/>
      <c r="F39" s="93"/>
      <c r="G39" s="93"/>
      <c r="H39" s="93"/>
      <c r="I39" s="93"/>
      <c r="J39" s="93"/>
      <c r="K39" s="94"/>
      <c r="L39" s="64"/>
      <c r="M39" s="57" t="s">
        <v>46</v>
      </c>
      <c r="N39" s="58"/>
      <c r="O39" s="58"/>
      <c r="P39" s="62"/>
    </row>
    <row r="40" spans="2:16" ht="14.25" customHeight="1">
      <c r="B40" s="63">
        <v>29</v>
      </c>
      <c r="C40" s="134" t="s">
        <v>872</v>
      </c>
      <c r="D40" s="93"/>
      <c r="E40" s="93"/>
      <c r="F40" s="93"/>
      <c r="G40" s="93"/>
      <c r="H40" s="93"/>
      <c r="I40" s="93"/>
      <c r="J40" s="93"/>
      <c r="K40" s="94"/>
      <c r="L40" s="64"/>
      <c r="M40" s="57" t="s">
        <v>46</v>
      </c>
      <c r="N40" s="58"/>
      <c r="O40" s="58"/>
      <c r="P40" s="62"/>
    </row>
    <row r="41" spans="2:16" ht="14.25" customHeight="1">
      <c r="B41" s="63">
        <v>30</v>
      </c>
      <c r="C41" s="134" t="s">
        <v>873</v>
      </c>
      <c r="D41" s="93"/>
      <c r="E41" s="93"/>
      <c r="F41" s="93"/>
      <c r="G41" s="93"/>
      <c r="H41" s="93"/>
      <c r="I41" s="93"/>
      <c r="J41" s="93"/>
      <c r="K41" s="94"/>
      <c r="L41" s="64"/>
      <c r="M41" s="57" t="s">
        <v>46</v>
      </c>
      <c r="N41" s="58"/>
      <c r="O41" s="58"/>
      <c r="P41" s="62"/>
    </row>
    <row r="42" spans="2:16" ht="14.25" customHeight="1">
      <c r="B42" s="41">
        <v>31</v>
      </c>
      <c r="C42" s="134" t="s">
        <v>874</v>
      </c>
      <c r="D42" s="93"/>
      <c r="E42" s="93"/>
      <c r="F42" s="93"/>
      <c r="G42" s="93"/>
      <c r="H42" s="93"/>
      <c r="I42" s="93"/>
      <c r="J42" s="93"/>
      <c r="K42" s="94"/>
      <c r="L42" s="64"/>
      <c r="M42" s="57" t="s">
        <v>46</v>
      </c>
      <c r="N42" s="58"/>
      <c r="O42" s="58"/>
      <c r="P42" s="62"/>
    </row>
    <row r="43" spans="2:16" ht="14.25" customHeight="1">
      <c r="B43" s="63">
        <v>32</v>
      </c>
      <c r="C43" s="134" t="s">
        <v>875</v>
      </c>
      <c r="D43" s="93"/>
      <c r="E43" s="93"/>
      <c r="F43" s="93"/>
      <c r="G43" s="93"/>
      <c r="H43" s="93"/>
      <c r="I43" s="93"/>
      <c r="J43" s="93"/>
      <c r="K43" s="94"/>
      <c r="L43" s="64"/>
      <c r="M43" s="57" t="s">
        <v>46</v>
      </c>
      <c r="N43" s="58"/>
      <c r="O43" s="58"/>
      <c r="P43" s="62"/>
    </row>
    <row r="44" spans="2:16" ht="14.25" customHeight="1">
      <c r="B44" s="63">
        <v>33</v>
      </c>
      <c r="C44" s="134" t="s">
        <v>876</v>
      </c>
      <c r="D44" s="93"/>
      <c r="E44" s="93"/>
      <c r="F44" s="93"/>
      <c r="G44" s="93"/>
      <c r="H44" s="93"/>
      <c r="I44" s="93"/>
      <c r="J44" s="93"/>
      <c r="K44" s="94"/>
      <c r="L44" s="64"/>
      <c r="M44" s="57" t="s">
        <v>46</v>
      </c>
      <c r="N44" s="58"/>
      <c r="O44" s="58"/>
      <c r="P44" s="62"/>
    </row>
    <row r="45" spans="2:16" ht="14.25" customHeight="1">
      <c r="B45" s="41">
        <v>34</v>
      </c>
      <c r="C45" s="134" t="s">
        <v>877</v>
      </c>
      <c r="D45" s="93"/>
      <c r="E45" s="93"/>
      <c r="F45" s="93"/>
      <c r="G45" s="93"/>
      <c r="H45" s="93"/>
      <c r="I45" s="93"/>
      <c r="J45" s="93"/>
      <c r="K45" s="94"/>
      <c r="L45" s="64"/>
      <c r="M45" s="57" t="s">
        <v>46</v>
      </c>
      <c r="N45" s="58"/>
      <c r="O45" s="58"/>
      <c r="P45" s="62"/>
    </row>
    <row r="46" spans="2:16" ht="14.25" customHeight="1">
      <c r="B46" s="63">
        <v>35</v>
      </c>
      <c r="C46" s="134" t="s">
        <v>878</v>
      </c>
      <c r="D46" s="93"/>
      <c r="E46" s="93"/>
      <c r="F46" s="93"/>
      <c r="G46" s="93"/>
      <c r="H46" s="93"/>
      <c r="I46" s="93"/>
      <c r="J46" s="93"/>
      <c r="K46" s="94"/>
      <c r="L46" s="64"/>
      <c r="M46" s="57" t="s">
        <v>46</v>
      </c>
      <c r="N46" s="58"/>
      <c r="O46" s="58"/>
      <c r="P46" s="62"/>
    </row>
    <row r="47" spans="2:16" ht="14.25" customHeight="1">
      <c r="B47" s="63">
        <v>36</v>
      </c>
      <c r="C47" s="134" t="s">
        <v>879</v>
      </c>
      <c r="D47" s="93"/>
      <c r="E47" s="93"/>
      <c r="F47" s="93"/>
      <c r="G47" s="93"/>
      <c r="H47" s="93"/>
      <c r="I47" s="93"/>
      <c r="J47" s="93"/>
      <c r="K47" s="94"/>
      <c r="L47" s="64"/>
      <c r="M47" s="57" t="s">
        <v>46</v>
      </c>
      <c r="N47" s="58"/>
      <c r="O47" s="58"/>
      <c r="P47" s="62"/>
    </row>
    <row r="48" spans="2:16" ht="14.25" customHeight="1">
      <c r="B48" s="41">
        <v>37</v>
      </c>
      <c r="C48" s="134" t="s">
        <v>880</v>
      </c>
      <c r="D48" s="93"/>
      <c r="E48" s="93"/>
      <c r="F48" s="93"/>
      <c r="G48" s="93"/>
      <c r="H48" s="93"/>
      <c r="I48" s="93"/>
      <c r="J48" s="93"/>
      <c r="K48" s="94"/>
      <c r="L48" s="64"/>
      <c r="M48" s="57" t="s">
        <v>46</v>
      </c>
      <c r="N48" s="58"/>
      <c r="O48" s="58"/>
      <c r="P48" s="62"/>
    </row>
    <row r="49" spans="2:18" ht="14.25" customHeight="1">
      <c r="B49" s="63">
        <v>38</v>
      </c>
      <c r="C49" s="134" t="s">
        <v>881</v>
      </c>
      <c r="D49" s="93"/>
      <c r="E49" s="93"/>
      <c r="F49" s="93"/>
      <c r="G49" s="93"/>
      <c r="H49" s="93"/>
      <c r="I49" s="93"/>
      <c r="J49" s="93"/>
      <c r="K49" s="94"/>
      <c r="L49" s="64"/>
      <c r="M49" s="57" t="s">
        <v>46</v>
      </c>
      <c r="N49" s="58"/>
      <c r="O49" s="58"/>
      <c r="P49" s="62"/>
    </row>
    <row r="50" spans="2:18" ht="14.25" customHeight="1">
      <c r="B50" s="63">
        <v>39</v>
      </c>
      <c r="C50" s="134" t="s">
        <v>883</v>
      </c>
      <c r="D50" s="93"/>
      <c r="E50" s="93"/>
      <c r="F50" s="93"/>
      <c r="G50" s="93"/>
      <c r="H50" s="93"/>
      <c r="I50" s="93"/>
      <c r="J50" s="93"/>
      <c r="K50" s="94"/>
      <c r="L50" s="64"/>
      <c r="M50" s="57" t="s">
        <v>46</v>
      </c>
      <c r="N50" s="58"/>
      <c r="O50" s="58"/>
      <c r="P50" s="62"/>
    </row>
    <row r="51" spans="2:18" ht="14.25" customHeight="1">
      <c r="B51" s="41">
        <v>40</v>
      </c>
      <c r="C51" s="134" t="s">
        <v>882</v>
      </c>
      <c r="D51" s="93"/>
      <c r="E51" s="93"/>
      <c r="F51" s="93"/>
      <c r="G51" s="93"/>
      <c r="H51" s="93"/>
      <c r="I51" s="93"/>
      <c r="J51" s="93"/>
      <c r="K51" s="94"/>
      <c r="L51" s="64"/>
      <c r="M51" s="57" t="s">
        <v>46</v>
      </c>
      <c r="N51" s="58"/>
      <c r="O51" s="58"/>
      <c r="P51" s="62"/>
    </row>
    <row r="52" spans="2:18" ht="14.25" customHeight="1">
      <c r="B52" s="63">
        <v>41</v>
      </c>
      <c r="C52" s="134" t="s">
        <v>884</v>
      </c>
      <c r="D52" s="93"/>
      <c r="E52" s="93"/>
      <c r="F52" s="93"/>
      <c r="G52" s="93"/>
      <c r="H52" s="93"/>
      <c r="I52" s="93"/>
      <c r="J52" s="93"/>
      <c r="K52" s="94"/>
      <c r="L52" s="64"/>
      <c r="M52" s="57" t="s">
        <v>46</v>
      </c>
      <c r="N52" s="58"/>
      <c r="O52" s="58"/>
      <c r="P52" s="62"/>
    </row>
    <row r="53" spans="2:18" ht="14.25" customHeight="1">
      <c r="B53" s="63">
        <v>42</v>
      </c>
      <c r="C53" s="134" t="s">
        <v>885</v>
      </c>
      <c r="D53" s="93"/>
      <c r="E53" s="93"/>
      <c r="F53" s="93"/>
      <c r="G53" s="93"/>
      <c r="H53" s="93"/>
      <c r="I53" s="93"/>
      <c r="J53" s="93"/>
      <c r="K53" s="94"/>
      <c r="L53" s="64"/>
      <c r="M53" s="57" t="s">
        <v>46</v>
      </c>
      <c r="N53" s="58"/>
      <c r="O53" s="58"/>
      <c r="P53" s="62"/>
    </row>
    <row r="54" spans="2:18" ht="14.25" customHeight="1">
      <c r="B54" s="41">
        <v>43</v>
      </c>
      <c r="C54" s="134" t="s">
        <v>886</v>
      </c>
      <c r="D54" s="93"/>
      <c r="E54" s="93"/>
      <c r="F54" s="93"/>
      <c r="G54" s="93"/>
      <c r="H54" s="93"/>
      <c r="I54" s="93"/>
      <c r="J54" s="93"/>
      <c r="K54" s="94"/>
      <c r="L54" s="64"/>
      <c r="M54" s="57" t="s">
        <v>46</v>
      </c>
      <c r="N54" s="58"/>
      <c r="O54" s="58"/>
      <c r="P54" s="62"/>
    </row>
    <row r="55" spans="2:18" ht="14.25" customHeight="1">
      <c r="B55" s="63">
        <v>44</v>
      </c>
      <c r="C55" s="134" t="s">
        <v>887</v>
      </c>
      <c r="D55" s="93"/>
      <c r="E55" s="93"/>
      <c r="F55" s="93"/>
      <c r="G55" s="93"/>
      <c r="H55" s="93"/>
      <c r="I55" s="93"/>
      <c r="J55" s="93"/>
      <c r="K55" s="94"/>
      <c r="L55" s="64"/>
      <c r="M55" s="57" t="s">
        <v>46</v>
      </c>
      <c r="N55" s="58"/>
      <c r="O55" s="58"/>
      <c r="P55" s="62"/>
    </row>
    <row r="56" spans="2:18" ht="14.25" customHeight="1">
      <c r="B56" s="63">
        <v>45</v>
      </c>
      <c r="C56" s="134" t="s">
        <v>888</v>
      </c>
      <c r="D56" s="93"/>
      <c r="E56" s="93"/>
      <c r="F56" s="93"/>
      <c r="G56" s="93"/>
      <c r="H56" s="93"/>
      <c r="I56" s="93"/>
      <c r="J56" s="93"/>
      <c r="K56" s="94"/>
      <c r="L56" s="64"/>
      <c r="M56" s="57" t="s">
        <v>46</v>
      </c>
      <c r="N56" s="58"/>
      <c r="O56" s="58"/>
      <c r="P56" s="62"/>
    </row>
    <row r="57" spans="2:18" ht="14.25" customHeight="1">
      <c r="B57" s="41">
        <v>46</v>
      </c>
      <c r="C57" s="134" t="s">
        <v>889</v>
      </c>
      <c r="D57" s="93"/>
      <c r="E57" s="93"/>
      <c r="F57" s="93"/>
      <c r="G57" s="93"/>
      <c r="H57" s="93"/>
      <c r="I57" s="93"/>
      <c r="J57" s="93"/>
      <c r="K57" s="94"/>
      <c r="L57" s="64"/>
      <c r="M57" s="57" t="s">
        <v>46</v>
      </c>
      <c r="N57" s="58"/>
      <c r="O57" s="58"/>
      <c r="P57" s="62"/>
    </row>
    <row r="58" spans="2:18" ht="14.25" customHeight="1">
      <c r="B58" s="63">
        <v>47</v>
      </c>
      <c r="C58" s="134" t="s">
        <v>890</v>
      </c>
      <c r="D58" s="93"/>
      <c r="E58" s="93"/>
      <c r="F58" s="93"/>
      <c r="G58" s="93"/>
      <c r="H58" s="93"/>
      <c r="I58" s="93"/>
      <c r="J58" s="93"/>
      <c r="K58" s="94"/>
      <c r="L58" s="64"/>
      <c r="M58" s="57" t="s">
        <v>46</v>
      </c>
      <c r="N58" s="58"/>
      <c r="O58" s="58"/>
      <c r="P58" s="62"/>
    </row>
    <row r="59" spans="2:18" ht="14.25" customHeight="1">
      <c r="B59" s="63">
        <v>48</v>
      </c>
      <c r="C59" s="134" t="s">
        <v>891</v>
      </c>
      <c r="D59" s="93"/>
      <c r="E59" s="93"/>
      <c r="F59" s="93"/>
      <c r="G59" s="93"/>
      <c r="H59" s="93"/>
      <c r="I59" s="93"/>
      <c r="J59" s="93"/>
      <c r="K59" s="94"/>
      <c r="L59" s="64"/>
      <c r="M59" s="57" t="s">
        <v>46</v>
      </c>
      <c r="N59" s="58"/>
      <c r="O59" s="58"/>
      <c r="P59" s="62"/>
    </row>
    <row r="60" spans="2:18" ht="14.25" customHeight="1">
      <c r="B60" s="41">
        <v>49</v>
      </c>
      <c r="C60" s="134" t="s">
        <v>892</v>
      </c>
      <c r="D60" s="93"/>
      <c r="E60" s="93"/>
      <c r="F60" s="93"/>
      <c r="G60" s="93"/>
      <c r="H60" s="93"/>
      <c r="I60" s="93"/>
      <c r="J60" s="93"/>
      <c r="K60" s="94"/>
      <c r="L60" s="64"/>
      <c r="M60" s="57" t="s">
        <v>46</v>
      </c>
      <c r="N60" s="58"/>
      <c r="O60" s="58"/>
      <c r="P60" s="62"/>
    </row>
    <row r="61" spans="2:18" ht="14.25" customHeight="1">
      <c r="B61" s="63">
        <v>50</v>
      </c>
      <c r="C61" s="134" t="s">
        <v>893</v>
      </c>
      <c r="D61" s="93"/>
      <c r="E61" s="93"/>
      <c r="F61" s="93"/>
      <c r="G61" s="93"/>
      <c r="H61" s="93"/>
      <c r="I61" s="93"/>
      <c r="J61" s="93"/>
      <c r="K61" s="94"/>
      <c r="L61" s="64"/>
      <c r="M61" s="57" t="s">
        <v>46</v>
      </c>
      <c r="N61" s="58"/>
      <c r="O61" s="58"/>
      <c r="P61" s="62"/>
    </row>
    <row r="62" spans="2:18" ht="14.25" customHeight="1">
      <c r="B62" s="63">
        <v>51</v>
      </c>
      <c r="C62" s="134" t="s">
        <v>894</v>
      </c>
      <c r="D62" s="93"/>
      <c r="E62" s="93"/>
      <c r="F62" s="93"/>
      <c r="G62" s="93"/>
      <c r="H62" s="93"/>
      <c r="I62" s="93"/>
      <c r="J62" s="93"/>
      <c r="K62" s="94"/>
      <c r="L62" s="64"/>
      <c r="M62" s="57" t="s">
        <v>46</v>
      </c>
      <c r="N62" s="58"/>
      <c r="O62" s="58"/>
      <c r="P62" s="62"/>
    </row>
    <row r="63" spans="2:18" ht="14.25" customHeight="1">
      <c r="B63" s="41">
        <v>52</v>
      </c>
      <c r="C63" s="134" t="s">
        <v>895</v>
      </c>
      <c r="D63" s="93"/>
      <c r="E63" s="93"/>
      <c r="F63" s="93"/>
      <c r="G63" s="93"/>
      <c r="H63" s="93"/>
      <c r="I63" s="93"/>
      <c r="J63" s="93"/>
      <c r="K63" s="94"/>
      <c r="L63" s="64"/>
      <c r="M63" s="57" t="s">
        <v>46</v>
      </c>
      <c r="N63" s="58"/>
      <c r="O63" s="58"/>
      <c r="P63" s="62"/>
      <c r="R63" s="80" t="s">
        <v>896</v>
      </c>
    </row>
    <row r="64" spans="2:18" ht="14.25" customHeight="1">
      <c r="B64" s="63">
        <v>53</v>
      </c>
      <c r="C64" s="134" t="s">
        <v>897</v>
      </c>
      <c r="D64" s="93"/>
      <c r="E64" s="93"/>
      <c r="F64" s="93"/>
      <c r="G64" s="93"/>
      <c r="H64" s="93"/>
      <c r="I64" s="93"/>
      <c r="J64" s="93"/>
      <c r="K64" s="94"/>
      <c r="L64" s="64"/>
      <c r="M64" s="57" t="s">
        <v>46</v>
      </c>
      <c r="N64" s="58"/>
      <c r="O64" s="58"/>
      <c r="P64" s="62"/>
      <c r="R64" s="80" t="s">
        <v>896</v>
      </c>
    </row>
    <row r="65" spans="2:16" ht="14.25" customHeight="1">
      <c r="B65" s="63">
        <v>54</v>
      </c>
      <c r="C65" s="134" t="s">
        <v>898</v>
      </c>
      <c r="D65" s="93"/>
      <c r="E65" s="93"/>
      <c r="F65" s="93"/>
      <c r="G65" s="93"/>
      <c r="H65" s="93"/>
      <c r="I65" s="93"/>
      <c r="J65" s="93"/>
      <c r="K65" s="94"/>
      <c r="L65" s="64"/>
      <c r="M65" s="57" t="s">
        <v>46</v>
      </c>
      <c r="N65" s="58"/>
      <c r="O65" s="58"/>
      <c r="P65" s="62"/>
    </row>
    <row r="66" spans="2:16" ht="14.25" customHeight="1">
      <c r="B66" s="41">
        <v>55</v>
      </c>
      <c r="C66" s="134" t="s">
        <v>913</v>
      </c>
      <c r="D66" s="93"/>
      <c r="E66" s="93"/>
      <c r="F66" s="93"/>
      <c r="G66" s="93"/>
      <c r="H66" s="93"/>
      <c r="I66" s="93"/>
      <c r="J66" s="93"/>
      <c r="K66" s="94"/>
      <c r="L66" s="64"/>
      <c r="M66" s="57" t="s">
        <v>46</v>
      </c>
      <c r="N66" s="58"/>
      <c r="O66" s="58"/>
      <c r="P66" s="62"/>
    </row>
    <row r="67" spans="2:16" ht="14.25" customHeight="1">
      <c r="B67" s="63">
        <v>56</v>
      </c>
      <c r="C67" s="134" t="s">
        <v>899</v>
      </c>
      <c r="D67" s="93"/>
      <c r="E67" s="93"/>
      <c r="F67" s="93"/>
      <c r="G67" s="93"/>
      <c r="H67" s="93"/>
      <c r="I67" s="93"/>
      <c r="J67" s="93"/>
      <c r="K67" s="94"/>
      <c r="L67" s="64"/>
      <c r="M67" s="57" t="s">
        <v>46</v>
      </c>
      <c r="N67" s="58"/>
      <c r="O67" s="58"/>
      <c r="P67" s="62"/>
    </row>
    <row r="68" spans="2:16" ht="14.25" customHeight="1">
      <c r="B68" s="63">
        <v>57</v>
      </c>
      <c r="C68" s="134" t="s">
        <v>900</v>
      </c>
      <c r="D68" s="93"/>
      <c r="E68" s="93"/>
      <c r="F68" s="93"/>
      <c r="G68" s="93"/>
      <c r="H68" s="93"/>
      <c r="I68" s="93"/>
      <c r="J68" s="93"/>
      <c r="K68" s="94"/>
      <c r="L68" s="64"/>
      <c r="M68" s="57" t="s">
        <v>46</v>
      </c>
      <c r="N68" s="58"/>
      <c r="O68" s="58"/>
      <c r="P68" s="62"/>
    </row>
    <row r="69" spans="2:16" ht="14.25" customHeight="1">
      <c r="B69" s="41">
        <v>58</v>
      </c>
      <c r="C69" s="134" t="s">
        <v>912</v>
      </c>
      <c r="D69" s="93"/>
      <c r="E69" s="93"/>
      <c r="F69" s="93"/>
      <c r="G69" s="93"/>
      <c r="H69" s="93"/>
      <c r="I69" s="93"/>
      <c r="J69" s="93"/>
      <c r="K69" s="94"/>
      <c r="L69" s="64"/>
      <c r="M69" s="57" t="s">
        <v>46</v>
      </c>
      <c r="N69" s="58"/>
      <c r="O69" s="58"/>
      <c r="P69" s="62"/>
    </row>
    <row r="70" spans="2:16" ht="14.25" customHeight="1">
      <c r="B70" s="63">
        <v>59</v>
      </c>
      <c r="C70" s="134" t="s">
        <v>914</v>
      </c>
      <c r="D70" s="93"/>
      <c r="E70" s="93"/>
      <c r="F70" s="93"/>
      <c r="G70" s="93"/>
      <c r="H70" s="93"/>
      <c r="I70" s="93"/>
      <c r="J70" s="93"/>
      <c r="K70" s="94"/>
      <c r="L70" s="64"/>
      <c r="M70" s="57" t="s">
        <v>46</v>
      </c>
      <c r="N70" s="58"/>
      <c r="O70" s="58"/>
      <c r="P70" s="62"/>
    </row>
    <row r="71" spans="2:16" ht="14.25" customHeight="1">
      <c r="B71" s="63">
        <v>60</v>
      </c>
      <c r="C71" s="134" t="s">
        <v>915</v>
      </c>
      <c r="D71" s="93"/>
      <c r="E71" s="93"/>
      <c r="F71" s="93"/>
      <c r="G71" s="93"/>
      <c r="H71" s="93"/>
      <c r="I71" s="93"/>
      <c r="J71" s="93"/>
      <c r="K71" s="94"/>
      <c r="L71" s="64"/>
      <c r="M71" s="57" t="s">
        <v>46</v>
      </c>
      <c r="N71" s="58"/>
      <c r="O71" s="58"/>
      <c r="P71" s="62"/>
    </row>
    <row r="72" spans="2:16" ht="14.25" customHeight="1">
      <c r="B72" s="41">
        <v>61</v>
      </c>
      <c r="C72" s="134" t="s">
        <v>916</v>
      </c>
      <c r="D72" s="93"/>
      <c r="E72" s="93"/>
      <c r="F72" s="93"/>
      <c r="G72" s="93"/>
      <c r="H72" s="93"/>
      <c r="I72" s="93"/>
      <c r="J72" s="93"/>
      <c r="K72" s="94"/>
      <c r="L72" s="64"/>
      <c r="M72" s="57" t="s">
        <v>46</v>
      </c>
      <c r="N72" s="58"/>
      <c r="O72" s="58"/>
      <c r="P72" s="62"/>
    </row>
    <row r="73" spans="2:16" ht="14.25" customHeight="1">
      <c r="B73" s="63">
        <v>62</v>
      </c>
      <c r="C73" s="134" t="s">
        <v>917</v>
      </c>
      <c r="D73" s="93"/>
      <c r="E73" s="93"/>
      <c r="F73" s="93"/>
      <c r="G73" s="93"/>
      <c r="H73" s="93"/>
      <c r="I73" s="93"/>
      <c r="J73" s="93"/>
      <c r="K73" s="94"/>
      <c r="L73" s="64"/>
      <c r="M73" s="57" t="s">
        <v>46</v>
      </c>
      <c r="N73" s="58"/>
      <c r="O73" s="58"/>
      <c r="P73" s="62"/>
    </row>
    <row r="74" spans="2:16" ht="14.25" customHeight="1">
      <c r="B74" s="63">
        <v>63</v>
      </c>
      <c r="C74" s="134" t="s">
        <v>918</v>
      </c>
      <c r="D74" s="93"/>
      <c r="E74" s="93"/>
      <c r="F74" s="93"/>
      <c r="G74" s="93"/>
      <c r="H74" s="93"/>
      <c r="I74" s="93"/>
      <c r="J74" s="93"/>
      <c r="K74" s="94"/>
      <c r="L74" s="64"/>
      <c r="M74" s="57" t="s">
        <v>46</v>
      </c>
      <c r="N74" s="58"/>
      <c r="O74" s="58"/>
      <c r="P74" s="62"/>
    </row>
    <row r="75" spans="2:16" ht="14.25" customHeight="1">
      <c r="B75" s="41">
        <v>64</v>
      </c>
      <c r="C75" s="134" t="s">
        <v>919</v>
      </c>
      <c r="D75" s="93"/>
      <c r="E75" s="93"/>
      <c r="F75" s="93"/>
      <c r="G75" s="93"/>
      <c r="H75" s="93"/>
      <c r="I75" s="93"/>
      <c r="J75" s="93"/>
      <c r="K75" s="94"/>
      <c r="L75" s="64"/>
      <c r="M75" s="57" t="s">
        <v>46</v>
      </c>
      <c r="N75" s="58"/>
      <c r="O75" s="58"/>
      <c r="P75" s="62"/>
    </row>
    <row r="76" spans="2:16" ht="14.25" customHeight="1">
      <c r="B76" s="63">
        <v>65</v>
      </c>
      <c r="C76" s="134" t="s">
        <v>920</v>
      </c>
      <c r="D76" s="93"/>
      <c r="E76" s="93"/>
      <c r="F76" s="93"/>
      <c r="G76" s="93"/>
      <c r="H76" s="93"/>
      <c r="I76" s="93"/>
      <c r="J76" s="93"/>
      <c r="K76" s="94"/>
      <c r="L76" s="64"/>
      <c r="M76" s="57" t="s">
        <v>46</v>
      </c>
      <c r="N76" s="58"/>
      <c r="O76" s="58"/>
      <c r="P76" s="62"/>
    </row>
    <row r="77" spans="2:16" ht="14.25" customHeight="1">
      <c r="B77" s="63">
        <v>66</v>
      </c>
      <c r="C77" s="134" t="s">
        <v>921</v>
      </c>
      <c r="D77" s="93"/>
      <c r="E77" s="93"/>
      <c r="F77" s="93"/>
      <c r="G77" s="93"/>
      <c r="H77" s="93"/>
      <c r="I77" s="93"/>
      <c r="J77" s="93"/>
      <c r="K77" s="94"/>
      <c r="L77" s="64"/>
      <c r="M77" s="57" t="s">
        <v>46</v>
      </c>
      <c r="N77" s="58"/>
      <c r="O77" s="58"/>
      <c r="P77" s="62"/>
    </row>
    <row r="78" spans="2:16" ht="14.25" customHeight="1">
      <c r="B78" s="41">
        <v>67</v>
      </c>
      <c r="C78" s="134" t="s">
        <v>922</v>
      </c>
      <c r="D78" s="93"/>
      <c r="E78" s="93"/>
      <c r="F78" s="93"/>
      <c r="G78" s="93"/>
      <c r="H78" s="93"/>
      <c r="I78" s="93"/>
      <c r="J78" s="93"/>
      <c r="K78" s="94"/>
      <c r="L78" s="64"/>
      <c r="M78" s="57" t="s">
        <v>46</v>
      </c>
      <c r="N78" s="58"/>
      <c r="O78" s="58"/>
      <c r="P78" s="62"/>
    </row>
    <row r="79" spans="2:16" ht="14.25" customHeight="1">
      <c r="B79" s="63">
        <v>68</v>
      </c>
      <c r="C79" s="134" t="s">
        <v>923</v>
      </c>
      <c r="D79" s="93"/>
      <c r="E79" s="93"/>
      <c r="F79" s="93"/>
      <c r="G79" s="93"/>
      <c r="H79" s="93"/>
      <c r="I79" s="93"/>
      <c r="J79" s="93"/>
      <c r="K79" s="94"/>
      <c r="L79" s="64"/>
      <c r="M79" s="57" t="s">
        <v>46</v>
      </c>
      <c r="N79" s="58"/>
      <c r="O79" s="58"/>
      <c r="P79" s="62"/>
    </row>
    <row r="80" spans="2:16" ht="14.25" customHeight="1">
      <c r="B80" s="63">
        <v>69</v>
      </c>
      <c r="C80" s="134" t="s">
        <v>924</v>
      </c>
      <c r="D80" s="93"/>
      <c r="E80" s="93"/>
      <c r="F80" s="93"/>
      <c r="G80" s="93"/>
      <c r="H80" s="93"/>
      <c r="I80" s="93"/>
      <c r="J80" s="93"/>
      <c r="K80" s="94"/>
      <c r="L80" s="64"/>
      <c r="M80" s="57" t="s">
        <v>46</v>
      </c>
      <c r="N80" s="58"/>
      <c r="O80" s="58"/>
      <c r="P80" s="62"/>
    </row>
    <row r="81" spans="2:16" ht="14.25" customHeight="1">
      <c r="B81" s="41">
        <v>70</v>
      </c>
      <c r="C81" s="134" t="s">
        <v>925</v>
      </c>
      <c r="D81" s="93"/>
      <c r="E81" s="93"/>
      <c r="F81" s="93"/>
      <c r="G81" s="93"/>
      <c r="H81" s="93"/>
      <c r="I81" s="93"/>
      <c r="J81" s="93"/>
      <c r="K81" s="94"/>
      <c r="L81" s="64"/>
      <c r="M81" s="57" t="s">
        <v>46</v>
      </c>
      <c r="N81" s="58"/>
      <c r="O81" s="58"/>
      <c r="P81" s="62"/>
    </row>
    <row r="82" spans="2:16" ht="14.25" customHeight="1">
      <c r="B82" s="63">
        <v>71</v>
      </c>
      <c r="C82" s="134" t="s">
        <v>926</v>
      </c>
      <c r="D82" s="93"/>
      <c r="E82" s="93"/>
      <c r="F82" s="93"/>
      <c r="G82" s="93"/>
      <c r="H82" s="93"/>
      <c r="I82" s="93"/>
      <c r="J82" s="93"/>
      <c r="K82" s="94"/>
      <c r="L82" s="64"/>
      <c r="M82" s="57" t="s">
        <v>46</v>
      </c>
      <c r="N82" s="58"/>
      <c r="O82" s="58"/>
      <c r="P82" s="62"/>
    </row>
    <row r="83" spans="2:16" ht="14.25" customHeight="1">
      <c r="B83" s="63">
        <v>72</v>
      </c>
      <c r="C83" s="134" t="s">
        <v>927</v>
      </c>
      <c r="D83" s="93"/>
      <c r="E83" s="93"/>
      <c r="F83" s="93"/>
      <c r="G83" s="93"/>
      <c r="H83" s="93"/>
      <c r="I83" s="93"/>
      <c r="J83" s="93"/>
      <c r="K83" s="94"/>
      <c r="L83" s="64"/>
      <c r="M83" s="57" t="s">
        <v>46</v>
      </c>
      <c r="N83" s="58"/>
      <c r="O83" s="58"/>
      <c r="P83" s="62"/>
    </row>
    <row r="84" spans="2:16" ht="14.25" customHeight="1">
      <c r="B84" s="41">
        <v>73</v>
      </c>
      <c r="C84" s="134" t="s">
        <v>911</v>
      </c>
      <c r="D84" s="93"/>
      <c r="E84" s="93"/>
      <c r="F84" s="93"/>
      <c r="G84" s="93"/>
      <c r="H84" s="93"/>
      <c r="I84" s="93"/>
      <c r="J84" s="93"/>
      <c r="K84" s="94"/>
      <c r="L84" s="64"/>
      <c r="M84" s="57" t="s">
        <v>46</v>
      </c>
      <c r="N84" s="58"/>
      <c r="O84" s="58"/>
      <c r="P84" s="62"/>
    </row>
    <row r="85" spans="2:16" ht="14.25" customHeight="1">
      <c r="B85" s="63">
        <v>74</v>
      </c>
      <c r="C85" s="134" t="s">
        <v>901</v>
      </c>
      <c r="D85" s="93"/>
      <c r="E85" s="93"/>
      <c r="F85" s="93"/>
      <c r="G85" s="93"/>
      <c r="H85" s="93"/>
      <c r="I85" s="93"/>
      <c r="J85" s="93"/>
      <c r="K85" s="94"/>
      <c r="L85" s="64"/>
      <c r="M85" s="57" t="s">
        <v>46</v>
      </c>
      <c r="N85" s="58"/>
      <c r="O85" s="58"/>
      <c r="P85" s="62"/>
    </row>
    <row r="86" spans="2:16" ht="14.25" customHeight="1">
      <c r="B86" s="63">
        <v>75</v>
      </c>
      <c r="C86" s="134" t="s">
        <v>902</v>
      </c>
      <c r="D86" s="93"/>
      <c r="E86" s="93"/>
      <c r="F86" s="93"/>
      <c r="G86" s="93"/>
      <c r="H86" s="93"/>
      <c r="I86" s="93"/>
      <c r="J86" s="93"/>
      <c r="K86" s="94"/>
      <c r="L86" s="64"/>
      <c r="M86" s="57" t="s">
        <v>46</v>
      </c>
      <c r="N86" s="58"/>
      <c r="O86" s="58"/>
      <c r="P86" s="62"/>
    </row>
    <row r="87" spans="2:16" ht="14.25" customHeight="1">
      <c r="B87" s="41">
        <v>76</v>
      </c>
      <c r="C87" s="134" t="s">
        <v>903</v>
      </c>
      <c r="D87" s="93"/>
      <c r="E87" s="93"/>
      <c r="F87" s="93"/>
      <c r="G87" s="93"/>
      <c r="H87" s="93"/>
      <c r="I87" s="93"/>
      <c r="J87" s="93"/>
      <c r="K87" s="94"/>
      <c r="L87" s="64"/>
      <c r="M87" s="68" t="s">
        <v>46</v>
      </c>
      <c r="N87" s="81"/>
      <c r="O87" s="58"/>
      <c r="P87" s="62"/>
    </row>
    <row r="88" spans="2:16" ht="14.25" customHeight="1">
      <c r="B88" s="63">
        <v>77</v>
      </c>
      <c r="C88" s="134" t="s">
        <v>904</v>
      </c>
      <c r="D88" s="93"/>
      <c r="E88" s="93"/>
      <c r="F88" s="93"/>
      <c r="G88" s="93"/>
      <c r="H88" s="93"/>
      <c r="I88" s="93"/>
      <c r="J88" s="93"/>
      <c r="K88" s="94"/>
      <c r="L88" s="64"/>
      <c r="M88" s="57" t="s">
        <v>46</v>
      </c>
      <c r="N88" s="58"/>
      <c r="O88" s="58"/>
      <c r="P88" s="62"/>
    </row>
    <row r="89" spans="2:16" ht="14.25" customHeight="1">
      <c r="B89" s="63">
        <v>78</v>
      </c>
      <c r="C89" s="134" t="s">
        <v>905</v>
      </c>
      <c r="D89" s="93"/>
      <c r="E89" s="93"/>
      <c r="F89" s="93"/>
      <c r="G89" s="93"/>
      <c r="H89" s="93"/>
      <c r="I89" s="93"/>
      <c r="J89" s="93"/>
      <c r="K89" s="94"/>
      <c r="L89" s="64"/>
      <c r="M89" s="57" t="s">
        <v>46</v>
      </c>
      <c r="N89" s="58"/>
      <c r="O89" s="58"/>
      <c r="P89" s="62"/>
    </row>
    <row r="90" spans="2:16" ht="14.25" customHeight="1">
      <c r="B90" s="41">
        <v>79</v>
      </c>
      <c r="C90" s="134" t="s">
        <v>906</v>
      </c>
      <c r="D90" s="93"/>
      <c r="E90" s="93"/>
      <c r="F90" s="93"/>
      <c r="G90" s="93"/>
      <c r="H90" s="93"/>
      <c r="I90" s="93"/>
      <c r="J90" s="93"/>
      <c r="K90" s="94"/>
      <c r="L90" s="64"/>
      <c r="M90" s="57" t="s">
        <v>46</v>
      </c>
      <c r="N90" s="58"/>
      <c r="O90" s="58"/>
      <c r="P90" s="62"/>
    </row>
    <row r="91" spans="2:16" ht="14.25" customHeight="1">
      <c r="B91" s="63">
        <v>80</v>
      </c>
      <c r="C91" s="134" t="s">
        <v>907</v>
      </c>
      <c r="D91" s="93"/>
      <c r="E91" s="93"/>
      <c r="F91" s="93"/>
      <c r="G91" s="93"/>
      <c r="H91" s="93"/>
      <c r="I91" s="93"/>
      <c r="J91" s="93"/>
      <c r="K91" s="94"/>
      <c r="L91" s="64"/>
      <c r="M91" s="57" t="s">
        <v>46</v>
      </c>
      <c r="N91" s="58"/>
      <c r="O91" s="58"/>
      <c r="P91" s="62"/>
    </row>
    <row r="92" spans="2:16" ht="14.25" customHeight="1">
      <c r="B92" s="63"/>
      <c r="C92" s="117"/>
      <c r="D92" s="93"/>
      <c r="E92" s="93"/>
      <c r="F92" s="93"/>
      <c r="G92" s="93"/>
      <c r="H92" s="93"/>
      <c r="I92" s="93"/>
      <c r="J92" s="93"/>
      <c r="K92" s="94"/>
      <c r="L92" s="64"/>
      <c r="M92" s="57"/>
      <c r="N92" s="58"/>
      <c r="O92" s="58"/>
      <c r="P92" s="62"/>
    </row>
    <row r="93" spans="2:16" ht="14.25" customHeight="1">
      <c r="B93" s="41"/>
      <c r="C93" s="117"/>
      <c r="D93" s="93"/>
      <c r="E93" s="93"/>
      <c r="F93" s="93"/>
      <c r="G93" s="93"/>
      <c r="H93" s="93"/>
      <c r="I93" s="93"/>
      <c r="J93" s="93"/>
      <c r="K93" s="94"/>
      <c r="L93" s="64"/>
      <c r="M93" s="57"/>
      <c r="N93" s="58"/>
      <c r="O93" s="58"/>
      <c r="P93" s="62"/>
    </row>
    <row r="94" spans="2:16" ht="14.25" customHeight="1">
      <c r="B94" s="63"/>
      <c r="C94" s="117"/>
      <c r="D94" s="93"/>
      <c r="E94" s="93"/>
      <c r="F94" s="93"/>
      <c r="G94" s="93"/>
      <c r="H94" s="93"/>
      <c r="I94" s="93"/>
      <c r="J94" s="93"/>
      <c r="K94" s="94"/>
      <c r="L94" s="64"/>
      <c r="M94" s="57"/>
      <c r="N94" s="58"/>
      <c r="O94" s="58"/>
      <c r="P94" s="62"/>
    </row>
    <row r="95" spans="2:16" ht="14.25" customHeight="1">
      <c r="B95" s="63"/>
      <c r="C95" s="117"/>
      <c r="D95" s="93"/>
      <c r="E95" s="93"/>
      <c r="F95" s="93"/>
      <c r="G95" s="93"/>
      <c r="H95" s="93"/>
      <c r="I95" s="93"/>
      <c r="J95" s="93"/>
      <c r="K95" s="94"/>
      <c r="L95" s="64"/>
      <c r="M95" s="57"/>
      <c r="N95" s="58"/>
      <c r="O95" s="58"/>
      <c r="P95" s="62"/>
    </row>
    <row r="96" spans="2:16" ht="14.25" customHeight="1">
      <c r="B96" s="41"/>
      <c r="C96" s="117"/>
      <c r="D96" s="93"/>
      <c r="E96" s="93"/>
      <c r="F96" s="93"/>
      <c r="G96" s="93"/>
      <c r="H96" s="93"/>
      <c r="I96" s="93"/>
      <c r="J96" s="93"/>
      <c r="K96" s="94"/>
      <c r="L96" s="64"/>
      <c r="M96" s="57"/>
      <c r="N96" s="58"/>
      <c r="O96" s="58"/>
      <c r="P96" s="62"/>
    </row>
    <row r="97" spans="2:16" ht="14.25" customHeight="1">
      <c r="B97" s="63"/>
      <c r="C97" s="117"/>
      <c r="D97" s="93"/>
      <c r="E97" s="93"/>
      <c r="F97" s="93"/>
      <c r="G97" s="93"/>
      <c r="H97" s="93"/>
      <c r="I97" s="93"/>
      <c r="J97" s="93"/>
      <c r="K97" s="94"/>
      <c r="L97" s="64"/>
      <c r="M97" s="57"/>
      <c r="N97" s="58"/>
      <c r="O97" s="58"/>
      <c r="P97" s="62"/>
    </row>
    <row r="98" spans="2:16" ht="14.25" customHeight="1">
      <c r="B98" s="63"/>
      <c r="C98" s="117"/>
      <c r="D98" s="93"/>
      <c r="E98" s="93"/>
      <c r="F98" s="93"/>
      <c r="G98" s="93"/>
      <c r="H98" s="93"/>
      <c r="I98" s="93"/>
      <c r="J98" s="93"/>
      <c r="K98" s="94"/>
      <c r="L98" s="64"/>
      <c r="M98" s="57"/>
      <c r="N98" s="58"/>
      <c r="O98" s="58"/>
      <c r="P98" s="62"/>
    </row>
    <row r="99" spans="2:16" ht="14.25" customHeight="1">
      <c r="B99" s="41"/>
      <c r="C99" s="117"/>
      <c r="D99" s="93"/>
      <c r="E99" s="93"/>
      <c r="F99" s="93"/>
      <c r="G99" s="93"/>
      <c r="H99" s="93"/>
      <c r="I99" s="93"/>
      <c r="J99" s="93"/>
      <c r="K99" s="94"/>
      <c r="L99" s="64"/>
      <c r="M99" s="57"/>
      <c r="N99" s="58"/>
      <c r="O99" s="58"/>
      <c r="P99" s="62"/>
    </row>
    <row r="100" spans="2:16" ht="14.25" customHeight="1">
      <c r="B100" s="63"/>
      <c r="C100" s="117"/>
      <c r="D100" s="93"/>
      <c r="E100" s="93"/>
      <c r="F100" s="93"/>
      <c r="G100" s="93"/>
      <c r="H100" s="93"/>
      <c r="I100" s="93"/>
      <c r="J100" s="93"/>
      <c r="K100" s="94"/>
      <c r="L100" s="64"/>
      <c r="M100" s="57"/>
      <c r="N100" s="58"/>
      <c r="O100" s="58"/>
      <c r="P100" s="62"/>
    </row>
    <row r="101" spans="2:16" ht="14.25" customHeight="1">
      <c r="B101" s="63"/>
      <c r="C101" s="117"/>
      <c r="D101" s="93"/>
      <c r="E101" s="93"/>
      <c r="F101" s="93"/>
      <c r="G101" s="93"/>
      <c r="H101" s="93"/>
      <c r="I101" s="93"/>
      <c r="J101" s="93"/>
      <c r="K101" s="94"/>
      <c r="L101" s="64"/>
      <c r="M101" s="57"/>
      <c r="N101" s="58"/>
      <c r="O101" s="58"/>
      <c r="P101" s="62"/>
    </row>
    <row r="102" spans="2:16" ht="14.25" customHeight="1">
      <c r="B102" s="41"/>
      <c r="C102" s="117"/>
      <c r="D102" s="93"/>
      <c r="E102" s="93"/>
      <c r="F102" s="93"/>
      <c r="G102" s="93"/>
      <c r="H102" s="93"/>
      <c r="I102" s="93"/>
      <c r="J102" s="93"/>
      <c r="K102" s="94"/>
      <c r="L102" s="64"/>
      <c r="M102" s="57"/>
      <c r="N102" s="58"/>
      <c r="O102" s="58"/>
      <c r="P102" s="62"/>
    </row>
    <row r="103" spans="2:16" ht="14.25" customHeight="1">
      <c r="B103" s="63"/>
      <c r="C103" s="117"/>
      <c r="D103" s="93"/>
      <c r="E103" s="93"/>
      <c r="F103" s="93"/>
      <c r="G103" s="93"/>
      <c r="H103" s="93"/>
      <c r="I103" s="93"/>
      <c r="J103" s="93"/>
      <c r="K103" s="94"/>
      <c r="L103" s="44"/>
      <c r="M103" s="57"/>
      <c r="N103" s="58"/>
      <c r="O103" s="58"/>
      <c r="P103" s="59"/>
    </row>
    <row r="104" spans="2:16" ht="14.25" customHeight="1">
      <c r="B104" s="63"/>
      <c r="C104" s="117"/>
      <c r="D104" s="93"/>
      <c r="E104" s="93"/>
      <c r="F104" s="93"/>
      <c r="G104" s="93"/>
      <c r="H104" s="93"/>
      <c r="I104" s="93"/>
      <c r="J104" s="93"/>
      <c r="K104" s="94"/>
      <c r="M104" s="57"/>
      <c r="N104" s="58"/>
      <c r="O104" s="58"/>
      <c r="P104" s="59"/>
    </row>
    <row r="105" spans="2:16" ht="14.25" customHeight="1">
      <c r="B105" s="41"/>
      <c r="C105" s="117"/>
      <c r="D105" s="93"/>
      <c r="E105" s="93"/>
      <c r="F105" s="93"/>
      <c r="G105" s="93"/>
      <c r="H105" s="93"/>
      <c r="I105" s="93"/>
      <c r="J105" s="93"/>
      <c r="K105" s="94"/>
      <c r="M105" s="57"/>
      <c r="N105" s="58"/>
      <c r="O105" s="58"/>
      <c r="P105" s="59"/>
    </row>
    <row r="106" spans="2:16" ht="14.25" customHeight="1">
      <c r="B106" s="63"/>
      <c r="C106" s="117"/>
      <c r="D106" s="93"/>
      <c r="E106" s="93"/>
      <c r="F106" s="93"/>
      <c r="G106" s="93"/>
      <c r="H106" s="93"/>
      <c r="I106" s="93"/>
      <c r="J106" s="93"/>
      <c r="K106" s="94"/>
      <c r="L106" s="42"/>
      <c r="M106" s="57"/>
      <c r="N106" s="58"/>
      <c r="O106" s="58"/>
      <c r="P106" s="59"/>
    </row>
    <row r="107" spans="2:16" ht="14.25" customHeight="1">
      <c r="B107" s="63"/>
      <c r="C107" s="117"/>
      <c r="D107" s="93"/>
      <c r="E107" s="93"/>
      <c r="F107" s="93"/>
      <c r="G107" s="93"/>
      <c r="H107" s="93"/>
      <c r="I107" s="93"/>
      <c r="J107" s="93"/>
      <c r="K107" s="94"/>
      <c r="L107" s="44"/>
      <c r="M107" s="57"/>
      <c r="N107" s="58"/>
      <c r="O107" s="58"/>
      <c r="P107" s="59"/>
    </row>
    <row r="108" spans="2:16" ht="14.25" customHeight="1"/>
    <row r="109" spans="2:16" ht="14.25" customHeight="1"/>
    <row r="110" spans="2:16" ht="14.25" customHeight="1">
      <c r="B110" s="35"/>
      <c r="C110" s="125" t="s">
        <v>450</v>
      </c>
      <c r="D110" s="99"/>
      <c r="E110" s="99"/>
      <c r="F110" s="99"/>
      <c r="G110" s="99"/>
      <c r="H110" s="99"/>
      <c r="I110" s="99"/>
      <c r="J110" s="100"/>
      <c r="K110" s="36"/>
    </row>
    <row r="111" spans="2:16" ht="14.25" customHeight="1"/>
    <row r="112" spans="2:16" ht="14.25" customHeight="1">
      <c r="B112" s="40"/>
      <c r="C112" s="120"/>
      <c r="D112" s="109"/>
      <c r="E112" s="110"/>
      <c r="F112" s="36"/>
      <c r="G112" s="36"/>
      <c r="H112" s="36"/>
      <c r="I112" s="36"/>
      <c r="J112" s="36"/>
      <c r="K112" s="36"/>
    </row>
    <row r="113" spans="2:18" ht="32.25" customHeight="1">
      <c r="B113" s="41">
        <v>1</v>
      </c>
      <c r="C113" s="117" t="s">
        <v>451</v>
      </c>
      <c r="D113" s="93"/>
      <c r="E113" s="93"/>
      <c r="F113" s="93"/>
      <c r="G113" s="93"/>
      <c r="H113" s="93"/>
      <c r="I113" s="93"/>
      <c r="J113" s="93"/>
      <c r="K113" s="94"/>
      <c r="L113" s="42"/>
      <c r="M113" s="57" t="s">
        <v>46</v>
      </c>
      <c r="N113" s="58"/>
      <c r="O113" s="58"/>
      <c r="P113" s="59"/>
      <c r="R113" t="s">
        <v>843</v>
      </c>
    </row>
    <row r="114" spans="2:18" ht="32.25" customHeight="1">
      <c r="B114" s="41">
        <v>2</v>
      </c>
      <c r="C114" s="117" t="s">
        <v>453</v>
      </c>
      <c r="D114" s="93"/>
      <c r="E114" s="93"/>
      <c r="F114" s="93"/>
      <c r="G114" s="93"/>
      <c r="H114" s="93"/>
      <c r="I114" s="93"/>
      <c r="J114" s="93"/>
      <c r="K114" s="94"/>
      <c r="M114" s="57" t="s">
        <v>46</v>
      </c>
      <c r="N114" s="58"/>
      <c r="O114" s="58"/>
      <c r="P114" s="59"/>
      <c r="R114" t="s">
        <v>843</v>
      </c>
    </row>
    <row r="115" spans="2:18" ht="32.25" customHeight="1">
      <c r="B115" s="41">
        <v>3</v>
      </c>
      <c r="C115" s="117"/>
      <c r="D115" s="93"/>
      <c r="E115" s="93"/>
      <c r="F115" s="93"/>
      <c r="G115" s="93"/>
      <c r="H115" s="93"/>
      <c r="I115" s="93"/>
      <c r="J115" s="93"/>
      <c r="K115" s="94"/>
      <c r="L115" s="46"/>
      <c r="M115" s="57"/>
      <c r="N115" s="58"/>
      <c r="O115" s="58"/>
      <c r="P115" s="59"/>
    </row>
    <row r="116" spans="2:18" ht="32.25" customHeight="1">
      <c r="B116" s="41">
        <v>4</v>
      </c>
      <c r="C116" s="117"/>
      <c r="D116" s="93"/>
      <c r="E116" s="93"/>
      <c r="F116" s="93"/>
      <c r="G116" s="93"/>
      <c r="H116" s="93"/>
      <c r="I116" s="93"/>
      <c r="J116" s="93"/>
      <c r="K116" s="94"/>
      <c r="L116" s="46"/>
      <c r="M116" s="57"/>
      <c r="N116" s="58"/>
      <c r="O116" s="58"/>
      <c r="P116" s="59"/>
    </row>
    <row r="117" spans="2:18" ht="32.25" customHeight="1">
      <c r="B117" s="41">
        <v>5</v>
      </c>
      <c r="C117" s="117"/>
      <c r="D117" s="93"/>
      <c r="E117" s="93"/>
      <c r="F117" s="93"/>
      <c r="G117" s="93"/>
      <c r="H117" s="93"/>
      <c r="I117" s="93"/>
      <c r="J117" s="93"/>
      <c r="K117" s="94"/>
      <c r="L117" s="46"/>
      <c r="M117" s="57"/>
      <c r="N117" s="58"/>
      <c r="O117" s="58"/>
      <c r="P117" s="59"/>
    </row>
    <row r="118" spans="2:18" ht="32.25" customHeight="1">
      <c r="B118" s="41">
        <v>6</v>
      </c>
      <c r="C118" s="117"/>
      <c r="D118" s="93"/>
      <c r="E118" s="93"/>
      <c r="F118" s="93"/>
      <c r="G118" s="93"/>
      <c r="H118" s="93"/>
      <c r="I118" s="93"/>
      <c r="J118" s="93"/>
      <c r="K118" s="94"/>
      <c r="L118" s="46"/>
      <c r="M118" s="57"/>
      <c r="N118" s="58"/>
      <c r="O118" s="58"/>
      <c r="P118" s="59"/>
    </row>
    <row r="119" spans="2:18" ht="32.25" customHeight="1">
      <c r="B119" s="41">
        <v>7</v>
      </c>
      <c r="C119" s="117"/>
      <c r="D119" s="93"/>
      <c r="E119" s="93"/>
      <c r="F119" s="93"/>
      <c r="G119" s="93"/>
      <c r="H119" s="93"/>
      <c r="I119" s="93"/>
      <c r="J119" s="93"/>
      <c r="K119" s="94"/>
      <c r="L119" s="46"/>
      <c r="M119" s="57"/>
      <c r="N119" s="58"/>
      <c r="O119" s="58"/>
      <c r="P119" s="59"/>
    </row>
    <row r="120" spans="2:18" ht="32.25" customHeight="1">
      <c r="B120" s="41">
        <v>8</v>
      </c>
      <c r="C120" s="117"/>
      <c r="D120" s="93"/>
      <c r="E120" s="93"/>
      <c r="F120" s="93"/>
      <c r="G120" s="93"/>
      <c r="H120" s="93"/>
      <c r="I120" s="93"/>
      <c r="J120" s="93"/>
      <c r="K120" s="94"/>
      <c r="L120" s="46"/>
      <c r="M120" s="57"/>
      <c r="N120" s="58"/>
      <c r="O120" s="58"/>
      <c r="P120" s="59"/>
    </row>
    <row r="121" spans="2:18" ht="32.25" customHeight="1">
      <c r="B121" s="41">
        <v>9</v>
      </c>
      <c r="C121" s="117"/>
      <c r="D121" s="93"/>
      <c r="E121" s="93"/>
      <c r="F121" s="93"/>
      <c r="G121" s="93"/>
      <c r="H121" s="93"/>
      <c r="I121" s="93"/>
      <c r="J121" s="93"/>
      <c r="K121" s="94"/>
      <c r="L121" s="46"/>
      <c r="M121" s="57"/>
      <c r="N121" s="58"/>
      <c r="O121" s="58"/>
      <c r="P121" s="59"/>
    </row>
    <row r="122" spans="2:18" ht="32.25" customHeight="1">
      <c r="B122" s="41">
        <v>10</v>
      </c>
      <c r="C122" s="117"/>
      <c r="D122" s="93"/>
      <c r="E122" s="93"/>
      <c r="F122" s="93"/>
      <c r="G122" s="93"/>
      <c r="H122" s="93"/>
      <c r="I122" s="93"/>
      <c r="J122" s="93"/>
      <c r="K122" s="94"/>
      <c r="L122" s="44"/>
      <c r="M122" s="57"/>
      <c r="N122" s="58"/>
      <c r="O122" s="58"/>
      <c r="P122" s="59"/>
    </row>
    <row r="123" spans="2:18" ht="14.25" customHeight="1"/>
    <row r="124" spans="2:18" ht="14.25" customHeight="1"/>
    <row r="125" spans="2:18" ht="14.25" customHeight="1"/>
    <row r="126" spans="2:18" ht="14.25" customHeight="1"/>
    <row r="127" spans="2:18" ht="14.25" customHeight="1"/>
    <row r="128" spans="2:1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sheetData>
  <mergeCells count="116">
    <mergeCell ref="C95:K95"/>
    <mergeCell ref="C96:K96"/>
    <mergeCell ref="C97:K97"/>
    <mergeCell ref="C98:K98"/>
    <mergeCell ref="C64:K64"/>
    <mergeCell ref="C65:K65"/>
    <mergeCell ref="C66:K66"/>
    <mergeCell ref="C67:K67"/>
    <mergeCell ref="C68:K68"/>
    <mergeCell ref="C59:K59"/>
    <mergeCell ref="C60:K60"/>
    <mergeCell ref="C61:K61"/>
    <mergeCell ref="C62:K62"/>
    <mergeCell ref="C63:K63"/>
    <mergeCell ref="C54:K54"/>
    <mergeCell ref="C55:K55"/>
    <mergeCell ref="C56:K56"/>
    <mergeCell ref="C57:K57"/>
    <mergeCell ref="C58:K58"/>
    <mergeCell ref="C49:K49"/>
    <mergeCell ref="C50:K50"/>
    <mergeCell ref="C51:K51"/>
    <mergeCell ref="C52:K52"/>
    <mergeCell ref="C53:K53"/>
    <mergeCell ref="C44:K44"/>
    <mergeCell ref="C45:K45"/>
    <mergeCell ref="C46:K46"/>
    <mergeCell ref="C47:K47"/>
    <mergeCell ref="C48:K48"/>
    <mergeCell ref="C39:K39"/>
    <mergeCell ref="C40:K40"/>
    <mergeCell ref="C41:K41"/>
    <mergeCell ref="C42:K42"/>
    <mergeCell ref="C43:K43"/>
    <mergeCell ref="C34:K34"/>
    <mergeCell ref="C35:K35"/>
    <mergeCell ref="C36:K36"/>
    <mergeCell ref="C37:K37"/>
    <mergeCell ref="C38:K38"/>
    <mergeCell ref="C29:K29"/>
    <mergeCell ref="C30:K30"/>
    <mergeCell ref="C31:K31"/>
    <mergeCell ref="C32:K32"/>
    <mergeCell ref="C33:K33"/>
    <mergeCell ref="C24:K24"/>
    <mergeCell ref="C25:K25"/>
    <mergeCell ref="C26:K26"/>
    <mergeCell ref="C27:K27"/>
    <mergeCell ref="C28:K28"/>
    <mergeCell ref="C2:G2"/>
    <mergeCell ref="C3:G3"/>
    <mergeCell ref="C4:G4"/>
    <mergeCell ref="B5:C5"/>
    <mergeCell ref="M8:O8"/>
    <mergeCell ref="P8:P9"/>
    <mergeCell ref="C9:J9"/>
    <mergeCell ref="C11:E11"/>
    <mergeCell ref="C12:K12"/>
    <mergeCell ref="C103:K103"/>
    <mergeCell ref="C13:K13"/>
    <mergeCell ref="C14:K14"/>
    <mergeCell ref="C15:K15"/>
    <mergeCell ref="C16:K16"/>
    <mergeCell ref="C17:K17"/>
    <mergeCell ref="C18:K18"/>
    <mergeCell ref="C19:K19"/>
    <mergeCell ref="C20:K20"/>
    <mergeCell ref="C21:K21"/>
    <mergeCell ref="C22:K22"/>
    <mergeCell ref="C23:K23"/>
    <mergeCell ref="C69:K69"/>
    <mergeCell ref="C70:K70"/>
    <mergeCell ref="C71:K71"/>
    <mergeCell ref="C72:K72"/>
    <mergeCell ref="C73:K73"/>
    <mergeCell ref="C74:K74"/>
    <mergeCell ref="C75:K75"/>
    <mergeCell ref="C105:K105"/>
    <mergeCell ref="C106:K106"/>
    <mergeCell ref="C107:K107"/>
    <mergeCell ref="C115:K115"/>
    <mergeCell ref="C121:K121"/>
    <mergeCell ref="C122:K122"/>
    <mergeCell ref="C110:J110"/>
    <mergeCell ref="C112:E112"/>
    <mergeCell ref="C113:K113"/>
    <mergeCell ref="C114:K114"/>
    <mergeCell ref="C116:K116"/>
    <mergeCell ref="C117:K117"/>
    <mergeCell ref="C118:K118"/>
    <mergeCell ref="C119:K119"/>
    <mergeCell ref="C120:K120"/>
    <mergeCell ref="C76:K76"/>
    <mergeCell ref="C77:K77"/>
    <mergeCell ref="C78:K78"/>
    <mergeCell ref="C79:K79"/>
    <mergeCell ref="C80:K80"/>
    <mergeCell ref="C81:K81"/>
    <mergeCell ref="C82:K82"/>
    <mergeCell ref="C83:K83"/>
    <mergeCell ref="C104:K104"/>
    <mergeCell ref="C89:K89"/>
    <mergeCell ref="C90:K90"/>
    <mergeCell ref="C91:K91"/>
    <mergeCell ref="C92:K92"/>
    <mergeCell ref="C93:K93"/>
    <mergeCell ref="C84:K84"/>
    <mergeCell ref="C85:K85"/>
    <mergeCell ref="C86:K86"/>
    <mergeCell ref="C87:K87"/>
    <mergeCell ref="C88:K88"/>
    <mergeCell ref="C99:K99"/>
    <mergeCell ref="C100:K100"/>
    <mergeCell ref="C101:K101"/>
    <mergeCell ref="C102:K102"/>
    <mergeCell ref="C94:K94"/>
  </mergeCells>
  <hyperlinks>
    <hyperlink ref="V2" location="'REQ. NO FUN. GEN'!A1" display="Volver" xr:uid="{00000000-0004-0000-1500-000000000000}"/>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V1000"/>
  <sheetViews>
    <sheetView topLeftCell="A10" workbookViewId="0">
      <selection activeCell="R32" sqref="R3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36"/>
      <c r="D9" s="125" t="s">
        <v>454</v>
      </c>
      <c r="E9" s="99"/>
      <c r="F9" s="99"/>
      <c r="G9" s="99"/>
      <c r="H9" s="99"/>
      <c r="I9" s="100"/>
      <c r="J9" s="36"/>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c r="D12" s="93"/>
      <c r="E12" s="93"/>
      <c r="F12" s="93"/>
      <c r="G12" s="93"/>
      <c r="H12" s="93"/>
      <c r="I12" s="93"/>
      <c r="J12" s="93"/>
      <c r="K12" s="94"/>
      <c r="L12" s="42"/>
      <c r="M12" s="57"/>
      <c r="N12" s="58"/>
      <c r="O12" s="58"/>
      <c r="P12" s="59"/>
    </row>
    <row r="13" spans="2:22" ht="14.25" customHeight="1">
      <c r="B13" s="35">
        <v>2</v>
      </c>
      <c r="C13" s="117"/>
      <c r="D13" s="93"/>
      <c r="E13" s="93"/>
      <c r="F13" s="93"/>
      <c r="G13" s="93"/>
      <c r="H13" s="93"/>
      <c r="I13" s="93"/>
      <c r="J13" s="93"/>
      <c r="K13" s="94"/>
      <c r="L13" s="44"/>
      <c r="M13" s="57"/>
      <c r="N13" s="58"/>
      <c r="O13" s="58"/>
      <c r="P13" s="59"/>
    </row>
    <row r="14" spans="2:22" ht="14.25" customHeight="1">
      <c r="B14" s="41">
        <v>3</v>
      </c>
      <c r="C14" s="117"/>
      <c r="D14" s="93"/>
      <c r="E14" s="93"/>
      <c r="F14" s="93"/>
      <c r="G14" s="93"/>
      <c r="H14" s="93"/>
      <c r="I14" s="93"/>
      <c r="J14" s="93"/>
      <c r="K14" s="94"/>
      <c r="M14" s="57"/>
      <c r="N14" s="58"/>
      <c r="O14" s="58"/>
      <c r="P14" s="59"/>
    </row>
    <row r="15" spans="2:22" ht="14.25" customHeight="1">
      <c r="B15" s="41">
        <v>4</v>
      </c>
      <c r="C15" s="117"/>
      <c r="D15" s="93"/>
      <c r="E15" s="93"/>
      <c r="F15" s="93"/>
      <c r="G15" s="93"/>
      <c r="H15" s="93"/>
      <c r="I15" s="93"/>
      <c r="J15" s="93"/>
      <c r="K15" s="94"/>
      <c r="M15" s="57"/>
      <c r="N15" s="58"/>
      <c r="O15" s="58"/>
      <c r="P15" s="59"/>
    </row>
    <row r="16" spans="2:22" ht="14.25" customHeight="1">
      <c r="B16" s="41">
        <v>5</v>
      </c>
      <c r="C16" s="117"/>
      <c r="D16" s="93"/>
      <c r="E16" s="93"/>
      <c r="F16" s="93"/>
      <c r="G16" s="93"/>
      <c r="H16" s="93"/>
      <c r="I16" s="93"/>
      <c r="J16" s="93"/>
      <c r="K16" s="94"/>
      <c r="L16" s="42"/>
      <c r="M16" s="57"/>
      <c r="N16" s="58"/>
      <c r="O16" s="58"/>
      <c r="P16" s="59"/>
    </row>
    <row r="17" spans="2:18" ht="14.25" customHeight="1">
      <c r="B17" s="35">
        <v>6</v>
      </c>
      <c r="C17" s="117"/>
      <c r="D17" s="93"/>
      <c r="E17" s="93"/>
      <c r="F17" s="93"/>
      <c r="G17" s="93"/>
      <c r="H17" s="93"/>
      <c r="I17" s="93"/>
      <c r="J17" s="93"/>
      <c r="K17" s="94"/>
      <c r="L17" s="44"/>
      <c r="M17" s="57"/>
      <c r="N17" s="58"/>
      <c r="O17" s="58"/>
      <c r="P17" s="59"/>
    </row>
    <row r="18" spans="2:18" ht="14.25" customHeight="1"/>
    <row r="19" spans="2:18" ht="14.25" customHeight="1"/>
    <row r="20" spans="2:18" ht="14.25" customHeight="1">
      <c r="B20" s="35"/>
      <c r="C20" s="125" t="s">
        <v>455</v>
      </c>
      <c r="D20" s="99"/>
      <c r="E20" s="99"/>
      <c r="F20" s="99"/>
      <c r="G20" s="99"/>
      <c r="H20" s="99"/>
      <c r="I20" s="99"/>
      <c r="J20" s="100"/>
      <c r="K20" s="36"/>
    </row>
    <row r="21" spans="2:18" ht="14.25" customHeight="1"/>
    <row r="22" spans="2:18" ht="14.25" customHeight="1">
      <c r="B22" s="40"/>
      <c r="C22" s="120"/>
      <c r="D22" s="109"/>
      <c r="E22" s="110"/>
      <c r="F22" s="36"/>
      <c r="G22" s="36"/>
      <c r="H22" s="36"/>
      <c r="I22" s="36"/>
      <c r="J22" s="36"/>
      <c r="K22" s="36"/>
    </row>
    <row r="23" spans="2:18" ht="32.25" customHeight="1">
      <c r="B23" s="41">
        <v>1</v>
      </c>
      <c r="C23" s="117" t="s">
        <v>456</v>
      </c>
      <c r="D23" s="93"/>
      <c r="E23" s="93"/>
      <c r="F23" s="93"/>
      <c r="G23" s="93"/>
      <c r="H23" s="93"/>
      <c r="I23" s="93"/>
      <c r="J23" s="93"/>
      <c r="K23" s="94"/>
      <c r="L23" s="42"/>
      <c r="M23" s="57" t="s">
        <v>46</v>
      </c>
      <c r="N23" s="58"/>
      <c r="O23" s="58"/>
      <c r="P23" s="59"/>
    </row>
    <row r="24" spans="2:18" ht="32.25" customHeight="1">
      <c r="B24" s="35">
        <v>2</v>
      </c>
      <c r="C24" s="117" t="s">
        <v>457</v>
      </c>
      <c r="D24" s="93"/>
      <c r="E24" s="93"/>
      <c r="F24" s="93"/>
      <c r="G24" s="93"/>
      <c r="H24" s="93"/>
      <c r="I24" s="93"/>
      <c r="J24" s="93"/>
      <c r="K24" s="94"/>
      <c r="L24" s="44"/>
      <c r="M24" s="57"/>
      <c r="N24" s="58" t="s">
        <v>46</v>
      </c>
      <c r="O24" s="58"/>
      <c r="P24" s="59"/>
      <c r="R24" s="47" t="s">
        <v>774</v>
      </c>
    </row>
    <row r="25" spans="2:18" ht="32.25" customHeight="1">
      <c r="B25" s="41">
        <v>3</v>
      </c>
      <c r="C25" s="117" t="s">
        <v>458</v>
      </c>
      <c r="D25" s="93"/>
      <c r="E25" s="93"/>
      <c r="F25" s="93"/>
      <c r="G25" s="93"/>
      <c r="H25" s="93"/>
      <c r="I25" s="93"/>
      <c r="J25" s="93"/>
      <c r="K25" s="94"/>
      <c r="M25" s="57" t="s">
        <v>46</v>
      </c>
      <c r="N25" s="58"/>
      <c r="O25" s="58"/>
      <c r="P25" s="59"/>
    </row>
    <row r="26" spans="2:18" ht="32.25" customHeight="1">
      <c r="B26" s="41">
        <v>4</v>
      </c>
      <c r="C26" s="117" t="s">
        <v>459</v>
      </c>
      <c r="D26" s="93"/>
      <c r="E26" s="93"/>
      <c r="F26" s="93"/>
      <c r="G26" s="93"/>
      <c r="H26" s="93"/>
      <c r="I26" s="93"/>
      <c r="J26" s="93"/>
      <c r="K26" s="94"/>
      <c r="M26" s="57" t="s">
        <v>46</v>
      </c>
      <c r="N26" s="58"/>
      <c r="O26" s="58"/>
      <c r="P26" s="59"/>
    </row>
    <row r="27" spans="2:18" ht="32.25" customHeight="1">
      <c r="B27" s="41">
        <v>5</v>
      </c>
      <c r="C27" s="117" t="s">
        <v>460</v>
      </c>
      <c r="D27" s="93"/>
      <c r="E27" s="93"/>
      <c r="F27" s="93"/>
      <c r="G27" s="93"/>
      <c r="H27" s="93"/>
      <c r="I27" s="93"/>
      <c r="J27" s="93"/>
      <c r="K27" s="94"/>
      <c r="L27" s="42"/>
      <c r="M27" s="57"/>
      <c r="N27" s="58" t="s">
        <v>46</v>
      </c>
      <c r="O27" s="58"/>
      <c r="P27" s="59"/>
      <c r="R27" s="47" t="s">
        <v>384</v>
      </c>
    </row>
    <row r="28" spans="2:18" ht="32.25" customHeight="1">
      <c r="B28" s="41">
        <v>6</v>
      </c>
      <c r="C28" s="117" t="s">
        <v>461</v>
      </c>
      <c r="D28" s="93"/>
      <c r="E28" s="93"/>
      <c r="F28" s="93"/>
      <c r="G28" s="93"/>
      <c r="H28" s="93"/>
      <c r="I28" s="93"/>
      <c r="J28" s="93"/>
      <c r="K28" s="94"/>
      <c r="L28" s="46"/>
      <c r="M28" s="57" t="s">
        <v>46</v>
      </c>
      <c r="N28" s="58"/>
      <c r="O28" s="58"/>
      <c r="P28" s="59"/>
      <c r="R28" s="47" t="s">
        <v>384</v>
      </c>
    </row>
    <row r="29" spans="2:18" ht="32.25" customHeight="1">
      <c r="B29" s="35">
        <v>7</v>
      </c>
      <c r="C29" s="117" t="s">
        <v>462</v>
      </c>
      <c r="D29" s="93"/>
      <c r="E29" s="93"/>
      <c r="F29" s="93"/>
      <c r="G29" s="93"/>
      <c r="H29" s="93"/>
      <c r="I29" s="93"/>
      <c r="J29" s="93"/>
      <c r="K29" s="94"/>
      <c r="L29" s="46"/>
      <c r="M29" s="57" t="s">
        <v>46</v>
      </c>
      <c r="N29" s="58"/>
      <c r="O29" s="58"/>
      <c r="P29" s="59"/>
    </row>
    <row r="30" spans="2:18" ht="32.25" customHeight="1">
      <c r="B30" s="41">
        <v>8</v>
      </c>
      <c r="C30" s="117" t="s">
        <v>463</v>
      </c>
      <c r="D30" s="93"/>
      <c r="E30" s="93"/>
      <c r="F30" s="93"/>
      <c r="G30" s="93"/>
      <c r="H30" s="93"/>
      <c r="I30" s="93"/>
      <c r="J30" s="93"/>
      <c r="K30" s="94"/>
      <c r="L30" s="46"/>
      <c r="M30" s="57"/>
      <c r="N30" s="58" t="s">
        <v>46</v>
      </c>
      <c r="O30" s="58"/>
      <c r="P30" s="59"/>
      <c r="R30" s="47" t="s">
        <v>452</v>
      </c>
    </row>
    <row r="31" spans="2:18" ht="32.25" customHeight="1">
      <c r="B31" s="41">
        <v>9</v>
      </c>
      <c r="C31" s="117" t="s">
        <v>464</v>
      </c>
      <c r="D31" s="93"/>
      <c r="E31" s="93"/>
      <c r="F31" s="93"/>
      <c r="G31" s="93"/>
      <c r="H31" s="93"/>
      <c r="I31" s="93"/>
      <c r="J31" s="93"/>
      <c r="K31" s="94"/>
      <c r="L31" s="46"/>
      <c r="M31" s="57" t="s">
        <v>46</v>
      </c>
      <c r="N31" s="58"/>
      <c r="O31" s="58"/>
      <c r="P31" s="59"/>
    </row>
    <row r="32" spans="2:18" ht="32.25" customHeight="1">
      <c r="B32" s="41">
        <v>10</v>
      </c>
      <c r="C32" s="117" t="s">
        <v>465</v>
      </c>
      <c r="D32" s="93"/>
      <c r="E32" s="93"/>
      <c r="F32" s="93"/>
      <c r="G32" s="93"/>
      <c r="H32" s="93"/>
      <c r="I32" s="93"/>
      <c r="J32" s="93"/>
      <c r="K32" s="94"/>
      <c r="L32" s="46"/>
      <c r="M32" s="57" t="s">
        <v>46</v>
      </c>
      <c r="N32" s="58"/>
      <c r="O32" s="58"/>
      <c r="P32" s="59"/>
      <c r="R32" s="47"/>
    </row>
    <row r="33" spans="2:16" ht="32.25" customHeight="1">
      <c r="B33" s="41">
        <v>11</v>
      </c>
      <c r="C33" s="117"/>
      <c r="D33" s="93"/>
      <c r="E33" s="93"/>
      <c r="F33" s="93"/>
      <c r="G33" s="93"/>
      <c r="H33" s="93"/>
      <c r="I33" s="93"/>
      <c r="J33" s="93"/>
      <c r="K33" s="94"/>
      <c r="L33" s="46"/>
      <c r="M33" s="57"/>
      <c r="N33" s="58"/>
      <c r="O33" s="58"/>
      <c r="P33" s="59"/>
    </row>
    <row r="34" spans="2:16" ht="32.25" customHeight="1">
      <c r="B34" s="35">
        <v>12</v>
      </c>
      <c r="C34" s="117"/>
      <c r="D34" s="93"/>
      <c r="E34" s="93"/>
      <c r="F34" s="93"/>
      <c r="G34" s="93"/>
      <c r="H34" s="93"/>
      <c r="I34" s="93"/>
      <c r="J34" s="93"/>
      <c r="K34" s="94"/>
      <c r="L34" s="46"/>
      <c r="M34" s="57"/>
      <c r="N34" s="58"/>
      <c r="O34" s="58"/>
      <c r="P34" s="59"/>
    </row>
    <row r="35" spans="2:16" ht="32.25" customHeight="1">
      <c r="B35" s="41">
        <v>13</v>
      </c>
      <c r="C35" s="117"/>
      <c r="D35" s="93"/>
      <c r="E35" s="93"/>
      <c r="F35" s="93"/>
      <c r="G35" s="93"/>
      <c r="H35" s="93"/>
      <c r="I35" s="93"/>
      <c r="J35" s="93"/>
      <c r="K35" s="94"/>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2:G2"/>
    <mergeCell ref="C3:G3"/>
    <mergeCell ref="C4:G4"/>
    <mergeCell ref="B5:C5"/>
    <mergeCell ref="M8:O8"/>
    <mergeCell ref="P8:P9"/>
    <mergeCell ref="D9:I9"/>
    <mergeCell ref="C11:E11"/>
    <mergeCell ref="C12:K12"/>
    <mergeCell ref="C13:K13"/>
    <mergeCell ref="C14:K14"/>
    <mergeCell ref="C15:K15"/>
    <mergeCell ref="C16:K16"/>
    <mergeCell ref="C17:K17"/>
    <mergeCell ref="C28:K28"/>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s>
  <hyperlinks>
    <hyperlink ref="V2" location="'REQ. FUN. GEN'!A1" display="Volver" xr:uid="{00000000-0004-0000-1600-000000000000}"/>
  </hyperlink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V1000"/>
  <sheetViews>
    <sheetView topLeftCell="A4" workbookViewId="0">
      <selection activeCell="M26" sqref="M26"/>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25" t="s">
        <v>466</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c r="D12" s="93"/>
      <c r="E12" s="93"/>
      <c r="F12" s="93"/>
      <c r="G12" s="93"/>
      <c r="H12" s="93"/>
      <c r="I12" s="93"/>
      <c r="J12" s="93"/>
      <c r="K12" s="94"/>
      <c r="L12" s="42"/>
      <c r="M12" s="57"/>
      <c r="N12" s="58"/>
      <c r="O12" s="58"/>
      <c r="P12" s="59"/>
    </row>
    <row r="13" spans="2:22" ht="14.25" customHeight="1">
      <c r="B13" s="35">
        <v>2</v>
      </c>
      <c r="C13" s="117"/>
      <c r="D13" s="93"/>
      <c r="E13" s="93"/>
      <c r="F13" s="93"/>
      <c r="G13" s="93"/>
      <c r="H13" s="93"/>
      <c r="I13" s="93"/>
      <c r="J13" s="93"/>
      <c r="K13" s="94"/>
      <c r="L13" s="44"/>
      <c r="M13" s="57"/>
      <c r="N13" s="58"/>
      <c r="O13" s="58"/>
      <c r="P13" s="59"/>
    </row>
    <row r="14" spans="2:22" ht="14.25" customHeight="1">
      <c r="B14" s="41">
        <v>3</v>
      </c>
      <c r="C14" s="117"/>
      <c r="D14" s="93"/>
      <c r="E14" s="93"/>
      <c r="F14" s="93"/>
      <c r="G14" s="93"/>
      <c r="H14" s="93"/>
      <c r="I14" s="93"/>
      <c r="J14" s="93"/>
      <c r="K14" s="94"/>
      <c r="M14" s="57"/>
      <c r="N14" s="58"/>
      <c r="O14" s="58"/>
      <c r="P14" s="59"/>
    </row>
    <row r="15" spans="2:22" ht="14.25" customHeight="1">
      <c r="B15" s="41">
        <v>4</v>
      </c>
      <c r="C15" s="117"/>
      <c r="D15" s="93"/>
      <c r="E15" s="93"/>
      <c r="F15" s="93"/>
      <c r="G15" s="93"/>
      <c r="H15" s="93"/>
      <c r="I15" s="93"/>
      <c r="J15" s="93"/>
      <c r="K15" s="94"/>
      <c r="M15" s="57"/>
      <c r="N15" s="58"/>
      <c r="O15" s="58"/>
      <c r="P15" s="59"/>
    </row>
    <row r="16" spans="2:22" ht="14.25" customHeight="1">
      <c r="B16" s="41">
        <v>5</v>
      </c>
      <c r="C16" s="117"/>
      <c r="D16" s="93"/>
      <c r="E16" s="93"/>
      <c r="F16" s="93"/>
      <c r="G16" s="93"/>
      <c r="H16" s="93"/>
      <c r="I16" s="93"/>
      <c r="J16" s="93"/>
      <c r="K16" s="94"/>
      <c r="L16" s="42"/>
      <c r="M16" s="57"/>
      <c r="N16" s="58"/>
      <c r="O16" s="58"/>
      <c r="P16" s="59"/>
    </row>
    <row r="17" spans="2:18" ht="14.25" customHeight="1">
      <c r="B17" s="35">
        <v>6</v>
      </c>
      <c r="C17" s="117"/>
      <c r="D17" s="93"/>
      <c r="E17" s="93"/>
      <c r="F17" s="93"/>
      <c r="G17" s="93"/>
      <c r="H17" s="93"/>
      <c r="I17" s="93"/>
      <c r="J17" s="93"/>
      <c r="K17" s="94"/>
      <c r="L17" s="44"/>
      <c r="M17" s="57"/>
      <c r="N17" s="58"/>
      <c r="O17" s="58"/>
      <c r="P17" s="59"/>
    </row>
    <row r="18" spans="2:18" ht="14.25" customHeight="1"/>
    <row r="19" spans="2:18" ht="14.25" customHeight="1"/>
    <row r="20" spans="2:18" ht="14.25" customHeight="1">
      <c r="B20" s="35"/>
      <c r="C20" s="125" t="s">
        <v>467</v>
      </c>
      <c r="D20" s="99"/>
      <c r="E20" s="99"/>
      <c r="F20" s="99"/>
      <c r="G20" s="99"/>
      <c r="H20" s="99"/>
      <c r="I20" s="99"/>
      <c r="J20" s="100"/>
      <c r="K20" s="36"/>
    </row>
    <row r="21" spans="2:18" ht="14.25" customHeight="1"/>
    <row r="22" spans="2:18" ht="14.25" customHeight="1">
      <c r="B22" s="40"/>
      <c r="C22" s="120"/>
      <c r="D22" s="109"/>
      <c r="E22" s="110"/>
      <c r="F22" s="36"/>
      <c r="G22" s="36"/>
      <c r="H22" s="36"/>
      <c r="I22" s="36"/>
      <c r="J22" s="36"/>
      <c r="K22" s="36"/>
    </row>
    <row r="23" spans="2:18" ht="32.25" customHeight="1">
      <c r="B23" s="41">
        <v>1</v>
      </c>
      <c r="C23" s="117" t="s">
        <v>468</v>
      </c>
      <c r="D23" s="93"/>
      <c r="E23" s="93"/>
      <c r="F23" s="93"/>
      <c r="G23" s="93"/>
      <c r="H23" s="93"/>
      <c r="I23" s="93"/>
      <c r="J23" s="93"/>
      <c r="K23" s="94"/>
      <c r="L23" s="42"/>
      <c r="M23" s="57"/>
      <c r="N23" s="58" t="s">
        <v>46</v>
      </c>
      <c r="O23" s="58"/>
      <c r="P23" s="59"/>
    </row>
    <row r="24" spans="2:18" ht="32.25" customHeight="1">
      <c r="B24" s="35">
        <v>2</v>
      </c>
      <c r="C24" s="117" t="s">
        <v>469</v>
      </c>
      <c r="D24" s="93"/>
      <c r="E24" s="93"/>
      <c r="F24" s="93"/>
      <c r="G24" s="93"/>
      <c r="H24" s="93"/>
      <c r="I24" s="93"/>
      <c r="J24" s="93"/>
      <c r="K24" s="94"/>
      <c r="L24" s="44"/>
      <c r="M24" s="57" t="s">
        <v>46</v>
      </c>
      <c r="N24" s="58"/>
      <c r="O24" s="58"/>
      <c r="P24" s="59"/>
    </row>
    <row r="25" spans="2:18" ht="32.25" customHeight="1">
      <c r="B25" s="41">
        <v>3</v>
      </c>
      <c r="C25" s="117" t="s">
        <v>470</v>
      </c>
      <c r="D25" s="93"/>
      <c r="E25" s="93"/>
      <c r="F25" s="93"/>
      <c r="G25" s="93"/>
      <c r="H25" s="93"/>
      <c r="I25" s="93"/>
      <c r="J25" s="93"/>
      <c r="K25" s="94"/>
      <c r="M25" s="57" t="s">
        <v>46</v>
      </c>
      <c r="N25" s="58"/>
      <c r="O25" s="58"/>
      <c r="P25" s="59"/>
      <c r="R25" s="47" t="s">
        <v>384</v>
      </c>
    </row>
    <row r="26" spans="2:18" ht="32.25" customHeight="1">
      <c r="B26" s="41">
        <v>4</v>
      </c>
      <c r="C26" s="117" t="s">
        <v>471</v>
      </c>
      <c r="D26" s="93"/>
      <c r="E26" s="93"/>
      <c r="F26" s="93"/>
      <c r="G26" s="93"/>
      <c r="H26" s="93"/>
      <c r="I26" s="93"/>
      <c r="J26" s="93"/>
      <c r="K26" s="94"/>
      <c r="M26" s="57"/>
      <c r="N26" s="58" t="s">
        <v>46</v>
      </c>
      <c r="O26" s="58"/>
      <c r="P26" s="59"/>
    </row>
    <row r="27" spans="2:18" ht="32.25" customHeight="1">
      <c r="B27" s="41">
        <v>5</v>
      </c>
      <c r="C27" s="117" t="s">
        <v>472</v>
      </c>
      <c r="D27" s="93"/>
      <c r="E27" s="93"/>
      <c r="F27" s="93"/>
      <c r="G27" s="93"/>
      <c r="H27" s="93"/>
      <c r="I27" s="93"/>
      <c r="J27" s="93"/>
      <c r="K27" s="94"/>
      <c r="L27" s="42"/>
      <c r="M27" s="57" t="s">
        <v>46</v>
      </c>
      <c r="N27" s="58"/>
      <c r="O27" s="58"/>
      <c r="P27" s="59"/>
    </row>
    <row r="28" spans="2:18" ht="32.25" customHeight="1">
      <c r="B28" s="41">
        <v>6</v>
      </c>
      <c r="C28" s="117"/>
      <c r="D28" s="93"/>
      <c r="E28" s="93"/>
      <c r="F28" s="93"/>
      <c r="G28" s="93"/>
      <c r="H28" s="93"/>
      <c r="I28" s="93"/>
      <c r="J28" s="93"/>
      <c r="K28" s="94"/>
      <c r="L28" s="46"/>
      <c r="M28" s="57"/>
      <c r="N28" s="58"/>
      <c r="O28" s="58"/>
      <c r="P28" s="59"/>
    </row>
    <row r="29" spans="2:18" ht="32.25" customHeight="1">
      <c r="B29" s="35">
        <v>7</v>
      </c>
      <c r="C29" s="117"/>
      <c r="D29" s="93"/>
      <c r="E29" s="93"/>
      <c r="F29" s="93"/>
      <c r="G29" s="93"/>
      <c r="H29" s="93"/>
      <c r="I29" s="93"/>
      <c r="J29" s="93"/>
      <c r="K29" s="94"/>
      <c r="L29" s="46"/>
      <c r="M29" s="57"/>
      <c r="N29" s="58"/>
      <c r="O29" s="58"/>
      <c r="P29" s="59"/>
    </row>
    <row r="30" spans="2:18" ht="32.25" customHeight="1">
      <c r="B30" s="41">
        <v>8</v>
      </c>
      <c r="C30" s="117"/>
      <c r="D30" s="93"/>
      <c r="E30" s="93"/>
      <c r="F30" s="93"/>
      <c r="G30" s="93"/>
      <c r="H30" s="93"/>
      <c r="I30" s="93"/>
      <c r="J30" s="93"/>
      <c r="K30" s="94"/>
      <c r="L30" s="46"/>
      <c r="M30" s="57"/>
      <c r="N30" s="58"/>
      <c r="O30" s="58"/>
      <c r="P30" s="59"/>
    </row>
    <row r="31" spans="2:18" ht="32.25" customHeight="1">
      <c r="B31" s="41">
        <v>9</v>
      </c>
      <c r="C31" s="117"/>
      <c r="D31" s="93"/>
      <c r="E31" s="93"/>
      <c r="F31" s="93"/>
      <c r="G31" s="93"/>
      <c r="H31" s="93"/>
      <c r="I31" s="93"/>
      <c r="J31" s="93"/>
      <c r="K31" s="94"/>
      <c r="L31" s="46"/>
      <c r="M31" s="57"/>
      <c r="N31" s="58"/>
      <c r="O31" s="58"/>
      <c r="P31" s="59"/>
    </row>
    <row r="32" spans="2:18" ht="32.25" customHeight="1">
      <c r="B32" s="41">
        <v>10</v>
      </c>
      <c r="C32" s="117"/>
      <c r="D32" s="93"/>
      <c r="E32" s="93"/>
      <c r="F32" s="93"/>
      <c r="G32" s="93"/>
      <c r="H32" s="93"/>
      <c r="I32" s="93"/>
      <c r="J32" s="93"/>
      <c r="K32" s="94"/>
      <c r="L32" s="46"/>
      <c r="M32" s="57"/>
      <c r="N32" s="58"/>
      <c r="O32" s="58"/>
      <c r="P32" s="59"/>
    </row>
    <row r="33" spans="2:16" ht="32.25" customHeight="1">
      <c r="B33" s="41">
        <v>11</v>
      </c>
      <c r="C33" s="117"/>
      <c r="D33" s="93"/>
      <c r="E33" s="93"/>
      <c r="F33" s="93"/>
      <c r="G33" s="93"/>
      <c r="H33" s="93"/>
      <c r="I33" s="93"/>
      <c r="J33" s="93"/>
      <c r="K33" s="94"/>
      <c r="L33" s="46"/>
      <c r="M33" s="57"/>
      <c r="N33" s="58"/>
      <c r="O33" s="58"/>
      <c r="P33" s="59"/>
    </row>
    <row r="34" spans="2:16" ht="32.25" customHeight="1">
      <c r="B34" s="35">
        <v>12</v>
      </c>
      <c r="C34" s="117"/>
      <c r="D34" s="93"/>
      <c r="E34" s="93"/>
      <c r="F34" s="93"/>
      <c r="G34" s="93"/>
      <c r="H34" s="93"/>
      <c r="I34" s="93"/>
      <c r="J34" s="93"/>
      <c r="K34" s="94"/>
      <c r="L34" s="46"/>
      <c r="M34" s="57"/>
      <c r="N34" s="58"/>
      <c r="O34" s="58"/>
      <c r="P34" s="59"/>
    </row>
    <row r="35" spans="2:16" ht="32.25" customHeight="1">
      <c r="B35" s="41">
        <v>13</v>
      </c>
      <c r="C35" s="117"/>
      <c r="D35" s="93"/>
      <c r="E35" s="93"/>
      <c r="F35" s="93"/>
      <c r="G35" s="93"/>
      <c r="H35" s="93"/>
      <c r="I35" s="93"/>
      <c r="J35" s="93"/>
      <c r="K35" s="94"/>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s>
  <hyperlinks>
    <hyperlink ref="V2" location="'REQ. FUN. GEN'!A1" display="Volver" xr:uid="{00000000-0004-0000-1700-000000000000}"/>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V1000"/>
  <sheetViews>
    <sheetView topLeftCell="A10" workbookViewId="0">
      <selection activeCell="R33" sqref="R33"/>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6"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35" t="s">
        <v>473</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c r="D12" s="93"/>
      <c r="E12" s="93"/>
      <c r="F12" s="93"/>
      <c r="G12" s="93"/>
      <c r="H12" s="93"/>
      <c r="I12" s="93"/>
      <c r="J12" s="93"/>
      <c r="K12" s="94"/>
      <c r="L12" s="42"/>
      <c r="M12" s="57"/>
      <c r="N12" s="58"/>
      <c r="O12" s="58"/>
      <c r="P12" s="59"/>
    </row>
    <row r="13" spans="2:22" ht="14.25" customHeight="1">
      <c r="B13" s="35">
        <v>2</v>
      </c>
      <c r="C13" s="117"/>
      <c r="D13" s="93"/>
      <c r="E13" s="93"/>
      <c r="F13" s="93"/>
      <c r="G13" s="93"/>
      <c r="H13" s="93"/>
      <c r="I13" s="93"/>
      <c r="J13" s="93"/>
      <c r="K13" s="94"/>
      <c r="L13" s="44"/>
      <c r="M13" s="57"/>
      <c r="N13" s="58"/>
      <c r="O13" s="58"/>
      <c r="P13" s="59"/>
    </row>
    <row r="14" spans="2:22" ht="14.25" customHeight="1">
      <c r="B14" s="41">
        <v>3</v>
      </c>
      <c r="C14" s="117"/>
      <c r="D14" s="93"/>
      <c r="E14" s="93"/>
      <c r="F14" s="93"/>
      <c r="G14" s="93"/>
      <c r="H14" s="93"/>
      <c r="I14" s="93"/>
      <c r="J14" s="93"/>
      <c r="K14" s="94"/>
      <c r="M14" s="57"/>
      <c r="N14" s="58"/>
      <c r="O14" s="58"/>
      <c r="P14" s="59"/>
    </row>
    <row r="15" spans="2:22" ht="14.25" customHeight="1">
      <c r="B15" s="41">
        <v>4</v>
      </c>
      <c r="C15" s="117"/>
      <c r="D15" s="93"/>
      <c r="E15" s="93"/>
      <c r="F15" s="93"/>
      <c r="G15" s="93"/>
      <c r="H15" s="93"/>
      <c r="I15" s="93"/>
      <c r="J15" s="93"/>
      <c r="K15" s="94"/>
      <c r="M15" s="57"/>
      <c r="N15" s="58"/>
      <c r="O15" s="58"/>
      <c r="P15" s="59"/>
    </row>
    <row r="16" spans="2:22" ht="14.25" customHeight="1">
      <c r="B16" s="41">
        <v>5</v>
      </c>
      <c r="C16" s="117"/>
      <c r="D16" s="93"/>
      <c r="E16" s="93"/>
      <c r="F16" s="93"/>
      <c r="G16" s="93"/>
      <c r="H16" s="93"/>
      <c r="I16" s="93"/>
      <c r="J16" s="93"/>
      <c r="K16" s="94"/>
      <c r="L16" s="42"/>
      <c r="M16" s="57"/>
      <c r="N16" s="58"/>
      <c r="O16" s="58"/>
      <c r="P16" s="59"/>
    </row>
    <row r="17" spans="2:18" ht="14.25" customHeight="1">
      <c r="B17" s="35">
        <v>6</v>
      </c>
      <c r="C17" s="117"/>
      <c r="D17" s="93"/>
      <c r="E17" s="93"/>
      <c r="F17" s="93"/>
      <c r="G17" s="93"/>
      <c r="H17" s="93"/>
      <c r="I17" s="93"/>
      <c r="J17" s="93"/>
      <c r="K17" s="94"/>
      <c r="L17" s="44"/>
      <c r="M17" s="57"/>
      <c r="N17" s="58"/>
      <c r="O17" s="58"/>
      <c r="P17" s="59"/>
    </row>
    <row r="18" spans="2:18" ht="14.25" customHeight="1"/>
    <row r="19" spans="2:18" ht="14.25" customHeight="1"/>
    <row r="20" spans="2:18" ht="14.25" customHeight="1">
      <c r="B20" s="35"/>
      <c r="C20" s="125" t="s">
        <v>474</v>
      </c>
      <c r="D20" s="99"/>
      <c r="E20" s="99"/>
      <c r="F20" s="99"/>
      <c r="G20" s="99"/>
      <c r="H20" s="99"/>
      <c r="I20" s="99"/>
      <c r="J20" s="100"/>
      <c r="K20" s="36"/>
    </row>
    <row r="21" spans="2:18" ht="14.25" customHeight="1"/>
    <row r="22" spans="2:18" ht="14.25" customHeight="1">
      <c r="B22" s="40"/>
      <c r="C22" s="120"/>
      <c r="D22" s="109"/>
      <c r="E22" s="110"/>
      <c r="F22" s="36"/>
      <c r="G22" s="36"/>
      <c r="H22" s="36"/>
      <c r="I22" s="36"/>
      <c r="J22" s="36"/>
      <c r="K22" s="36"/>
    </row>
    <row r="23" spans="2:18" ht="32.25" customHeight="1">
      <c r="B23" s="41">
        <v>1</v>
      </c>
      <c r="C23" s="117" t="s">
        <v>475</v>
      </c>
      <c r="D23" s="93"/>
      <c r="E23" s="93"/>
      <c r="F23" s="93"/>
      <c r="G23" s="93"/>
      <c r="H23" s="93"/>
      <c r="I23" s="93"/>
      <c r="J23" s="93"/>
      <c r="K23" s="94"/>
      <c r="L23" s="42"/>
      <c r="M23" s="57" t="s">
        <v>46</v>
      </c>
      <c r="N23" s="58"/>
      <c r="O23" s="58"/>
      <c r="P23" s="59"/>
    </row>
    <row r="24" spans="2:18" ht="32.25" customHeight="1">
      <c r="B24" s="35">
        <v>2</v>
      </c>
      <c r="C24" s="117" t="s">
        <v>476</v>
      </c>
      <c r="D24" s="93"/>
      <c r="E24" s="93"/>
      <c r="F24" s="93"/>
      <c r="G24" s="93"/>
      <c r="H24" s="93"/>
      <c r="I24" s="93"/>
      <c r="J24" s="93"/>
      <c r="K24" s="94"/>
      <c r="L24" s="44"/>
      <c r="M24" s="57" t="s">
        <v>46</v>
      </c>
      <c r="N24" s="58"/>
      <c r="O24" s="58"/>
      <c r="P24" s="59"/>
    </row>
    <row r="25" spans="2:18" ht="32.25" customHeight="1">
      <c r="B25" s="41">
        <v>3</v>
      </c>
      <c r="C25" s="117" t="s">
        <v>477</v>
      </c>
      <c r="D25" s="93"/>
      <c r="E25" s="93"/>
      <c r="F25" s="93"/>
      <c r="G25" s="93"/>
      <c r="H25" s="93"/>
      <c r="I25" s="93"/>
      <c r="J25" s="93"/>
      <c r="K25" s="94"/>
      <c r="M25" s="57" t="s">
        <v>46</v>
      </c>
      <c r="N25" s="58"/>
      <c r="O25" s="58"/>
      <c r="P25" s="59"/>
    </row>
    <row r="26" spans="2:18" ht="32.25" customHeight="1">
      <c r="B26" s="41">
        <v>4</v>
      </c>
      <c r="C26" s="117" t="s">
        <v>478</v>
      </c>
      <c r="D26" s="93"/>
      <c r="E26" s="93"/>
      <c r="F26" s="93"/>
      <c r="G26" s="93"/>
      <c r="H26" s="93"/>
      <c r="I26" s="93"/>
      <c r="J26" s="93"/>
      <c r="K26" s="94"/>
      <c r="M26" s="57" t="s">
        <v>46</v>
      </c>
      <c r="N26" s="58"/>
      <c r="O26" s="58"/>
      <c r="P26" s="59"/>
    </row>
    <row r="27" spans="2:18" ht="32.25" customHeight="1">
      <c r="B27" s="41">
        <v>5</v>
      </c>
      <c r="C27" s="117" t="s">
        <v>479</v>
      </c>
      <c r="D27" s="93"/>
      <c r="E27" s="93"/>
      <c r="F27" s="93"/>
      <c r="G27" s="93"/>
      <c r="H27" s="93"/>
      <c r="I27" s="93"/>
      <c r="J27" s="93"/>
      <c r="K27" s="94"/>
      <c r="L27" s="42"/>
      <c r="M27" s="57" t="s">
        <v>46</v>
      </c>
      <c r="N27" s="58"/>
      <c r="O27" s="58"/>
      <c r="P27" s="59"/>
    </row>
    <row r="28" spans="2:18" ht="32.25" customHeight="1">
      <c r="B28" s="41">
        <v>6</v>
      </c>
      <c r="C28" s="117" t="s">
        <v>480</v>
      </c>
      <c r="D28" s="93"/>
      <c r="E28" s="93"/>
      <c r="F28" s="93"/>
      <c r="G28" s="93"/>
      <c r="H28" s="93"/>
      <c r="I28" s="93"/>
      <c r="J28" s="93"/>
      <c r="K28" s="94"/>
      <c r="L28" s="46"/>
      <c r="M28" s="57" t="s">
        <v>46</v>
      </c>
      <c r="N28" s="58"/>
      <c r="O28" s="58"/>
      <c r="P28" s="59"/>
    </row>
    <row r="29" spans="2:18" ht="32.25" customHeight="1">
      <c r="B29" s="35">
        <v>7</v>
      </c>
      <c r="C29" s="117" t="s">
        <v>481</v>
      </c>
      <c r="D29" s="93"/>
      <c r="E29" s="93"/>
      <c r="F29" s="93"/>
      <c r="G29" s="93"/>
      <c r="H29" s="93"/>
      <c r="I29" s="93"/>
      <c r="J29" s="93"/>
      <c r="K29" s="94"/>
      <c r="L29" s="46"/>
      <c r="M29" s="57" t="s">
        <v>46</v>
      </c>
      <c r="N29" s="58"/>
      <c r="O29" s="58"/>
      <c r="P29" s="59"/>
    </row>
    <row r="30" spans="2:18" ht="32.25" customHeight="1">
      <c r="B30" s="41">
        <v>8</v>
      </c>
      <c r="C30" s="117" t="s">
        <v>482</v>
      </c>
      <c r="D30" s="93"/>
      <c r="E30" s="93"/>
      <c r="F30" s="93"/>
      <c r="G30" s="93"/>
      <c r="H30" s="93"/>
      <c r="I30" s="93"/>
      <c r="J30" s="93"/>
      <c r="K30" s="94"/>
      <c r="L30" s="46"/>
      <c r="M30" s="57" t="s">
        <v>46</v>
      </c>
      <c r="N30" s="58"/>
      <c r="O30" s="58"/>
      <c r="P30" s="59"/>
    </row>
    <row r="31" spans="2:18" ht="32.25" customHeight="1">
      <c r="B31" s="41">
        <v>9</v>
      </c>
      <c r="C31" s="117" t="s">
        <v>483</v>
      </c>
      <c r="D31" s="93"/>
      <c r="E31" s="93"/>
      <c r="F31" s="93"/>
      <c r="G31" s="93"/>
      <c r="H31" s="93"/>
      <c r="I31" s="93"/>
      <c r="J31" s="93"/>
      <c r="K31" s="94"/>
      <c r="L31" s="46"/>
      <c r="M31" s="57"/>
      <c r="N31" s="58" t="s">
        <v>46</v>
      </c>
      <c r="O31" s="58"/>
      <c r="P31" s="59"/>
      <c r="R31" s="47" t="s">
        <v>384</v>
      </c>
    </row>
    <row r="32" spans="2:18" ht="32.25" customHeight="1">
      <c r="B32" s="41">
        <v>10</v>
      </c>
      <c r="C32" s="117" t="s">
        <v>484</v>
      </c>
      <c r="D32" s="93"/>
      <c r="E32" s="93"/>
      <c r="F32" s="93"/>
      <c r="G32" s="93"/>
      <c r="H32" s="93"/>
      <c r="I32" s="93"/>
      <c r="J32" s="93"/>
      <c r="K32" s="94"/>
      <c r="L32" s="46"/>
      <c r="M32" s="57" t="s">
        <v>46</v>
      </c>
      <c r="N32" s="58"/>
      <c r="O32" s="58"/>
      <c r="P32" s="59"/>
      <c r="R32" s="47" t="s">
        <v>775</v>
      </c>
    </row>
    <row r="33" spans="2:16" ht="32.25" customHeight="1">
      <c r="B33" s="41">
        <v>11</v>
      </c>
      <c r="C33" s="117"/>
      <c r="D33" s="93"/>
      <c r="E33" s="93"/>
      <c r="F33" s="93"/>
      <c r="G33" s="93"/>
      <c r="H33" s="93"/>
      <c r="I33" s="93"/>
      <c r="J33" s="93"/>
      <c r="K33" s="94"/>
      <c r="L33" s="46"/>
      <c r="M33" s="57"/>
      <c r="N33" s="58"/>
      <c r="O33" s="58"/>
      <c r="P33" s="59"/>
    </row>
    <row r="34" spans="2:16" ht="32.25" customHeight="1">
      <c r="B34" s="35">
        <v>12</v>
      </c>
      <c r="C34" s="117"/>
      <c r="D34" s="93"/>
      <c r="E34" s="93"/>
      <c r="F34" s="93"/>
      <c r="G34" s="93"/>
      <c r="H34" s="93"/>
      <c r="I34" s="93"/>
      <c r="J34" s="93"/>
      <c r="K34" s="94"/>
      <c r="L34" s="46"/>
      <c r="M34" s="57"/>
      <c r="N34" s="58"/>
      <c r="O34" s="58"/>
      <c r="P34" s="59"/>
    </row>
    <row r="35" spans="2:16" ht="32.25" customHeight="1">
      <c r="B35" s="41">
        <v>13</v>
      </c>
      <c r="C35" s="117"/>
      <c r="D35" s="93"/>
      <c r="E35" s="93"/>
      <c r="F35" s="93"/>
      <c r="G35" s="93"/>
      <c r="H35" s="93"/>
      <c r="I35" s="93"/>
      <c r="J35" s="93"/>
      <c r="K35" s="94"/>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s>
  <hyperlinks>
    <hyperlink ref="V2" location="'REQ. FUN. GEN'!A1" display="Volver" xr:uid="{00000000-0004-0000-1800-000000000000}"/>
  </hyperlink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V1000"/>
  <sheetViews>
    <sheetView workbookViewId="0">
      <selection activeCell="V26" sqref="V26"/>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35" t="s">
        <v>485</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14.25" customHeight="1">
      <c r="B12" s="41">
        <v>1</v>
      </c>
      <c r="C12" s="117"/>
      <c r="D12" s="93"/>
      <c r="E12" s="93"/>
      <c r="F12" s="93"/>
      <c r="G12" s="93"/>
      <c r="H12" s="93"/>
      <c r="I12" s="93"/>
      <c r="J12" s="93"/>
      <c r="K12" s="94"/>
      <c r="L12" s="42"/>
      <c r="M12" s="57"/>
      <c r="N12" s="58"/>
      <c r="O12" s="58"/>
      <c r="P12" s="59"/>
    </row>
    <row r="13" spans="2:22" ht="14.25" customHeight="1">
      <c r="B13" s="35">
        <v>2</v>
      </c>
      <c r="C13" s="117"/>
      <c r="D13" s="93"/>
      <c r="E13" s="93"/>
      <c r="F13" s="93"/>
      <c r="G13" s="93"/>
      <c r="H13" s="93"/>
      <c r="I13" s="93"/>
      <c r="J13" s="93"/>
      <c r="K13" s="94"/>
      <c r="L13" s="44"/>
      <c r="M13" s="57"/>
      <c r="N13" s="58"/>
      <c r="O13" s="58"/>
      <c r="P13" s="59"/>
    </row>
    <row r="14" spans="2:22" ht="14.25" customHeight="1">
      <c r="B14" s="41">
        <v>3</v>
      </c>
      <c r="C14" s="117"/>
      <c r="D14" s="93"/>
      <c r="E14" s="93"/>
      <c r="F14" s="93"/>
      <c r="G14" s="93"/>
      <c r="H14" s="93"/>
      <c r="I14" s="93"/>
      <c r="J14" s="93"/>
      <c r="K14" s="94"/>
      <c r="M14" s="57"/>
      <c r="N14" s="58"/>
      <c r="O14" s="58"/>
      <c r="P14" s="59"/>
    </row>
    <row r="15" spans="2:22" ht="14.25" customHeight="1">
      <c r="B15" s="41">
        <v>4</v>
      </c>
      <c r="C15" s="117"/>
      <c r="D15" s="93"/>
      <c r="E15" s="93"/>
      <c r="F15" s="93"/>
      <c r="G15" s="93"/>
      <c r="H15" s="93"/>
      <c r="I15" s="93"/>
      <c r="J15" s="93"/>
      <c r="K15" s="94"/>
      <c r="M15" s="57"/>
      <c r="N15" s="58"/>
      <c r="O15" s="58"/>
      <c r="P15" s="59"/>
    </row>
    <row r="16" spans="2:22" ht="14.25" customHeight="1">
      <c r="B16" s="41">
        <v>5</v>
      </c>
      <c r="C16" s="117"/>
      <c r="D16" s="93"/>
      <c r="E16" s="93"/>
      <c r="F16" s="93"/>
      <c r="G16" s="93"/>
      <c r="H16" s="93"/>
      <c r="I16" s="93"/>
      <c r="J16" s="93"/>
      <c r="K16" s="94"/>
      <c r="L16" s="42"/>
      <c r="M16" s="57"/>
      <c r="N16" s="58"/>
      <c r="O16" s="58"/>
      <c r="P16" s="59"/>
    </row>
    <row r="17" spans="2:22" ht="14.25" customHeight="1">
      <c r="B17" s="35">
        <v>6</v>
      </c>
      <c r="C17" s="117"/>
      <c r="D17" s="93"/>
      <c r="E17" s="93"/>
      <c r="F17" s="93"/>
      <c r="G17" s="93"/>
      <c r="H17" s="93"/>
      <c r="I17" s="93"/>
      <c r="J17" s="93"/>
      <c r="K17" s="94"/>
      <c r="L17" s="44"/>
      <c r="M17" s="57"/>
      <c r="N17" s="58"/>
      <c r="O17" s="58"/>
      <c r="P17" s="59"/>
    </row>
    <row r="18" spans="2:22" ht="14.25" customHeight="1"/>
    <row r="19" spans="2:22" ht="14.25" customHeight="1"/>
    <row r="20" spans="2:22" ht="14.25" customHeight="1">
      <c r="B20" s="35"/>
      <c r="C20" s="125" t="s">
        <v>486</v>
      </c>
      <c r="D20" s="99"/>
      <c r="E20" s="99"/>
      <c r="F20" s="99"/>
      <c r="G20" s="99"/>
      <c r="H20" s="99"/>
      <c r="I20" s="99"/>
      <c r="J20" s="100"/>
      <c r="K20" s="36"/>
    </row>
    <row r="21" spans="2:22" ht="14.25" customHeight="1"/>
    <row r="22" spans="2:22" ht="14.25" customHeight="1">
      <c r="B22" s="40"/>
      <c r="C22" s="120"/>
      <c r="D22" s="109"/>
      <c r="E22" s="110"/>
      <c r="F22" s="36"/>
      <c r="G22" s="36"/>
      <c r="H22" s="36"/>
      <c r="I22" s="36"/>
      <c r="J22" s="36"/>
      <c r="K22" s="36"/>
    </row>
    <row r="23" spans="2:22" ht="32.25" customHeight="1">
      <c r="B23" s="41">
        <v>1</v>
      </c>
      <c r="C23" s="117" t="s">
        <v>487</v>
      </c>
      <c r="D23" s="93"/>
      <c r="E23" s="93"/>
      <c r="F23" s="93"/>
      <c r="G23" s="93"/>
      <c r="H23" s="93"/>
      <c r="I23" s="93"/>
      <c r="J23" s="93"/>
      <c r="K23" s="94"/>
      <c r="L23" s="42"/>
      <c r="M23" s="57" t="s">
        <v>46</v>
      </c>
      <c r="N23" s="58"/>
      <c r="O23" s="58"/>
      <c r="P23" s="59"/>
      <c r="R23" s="47" t="s">
        <v>452</v>
      </c>
    </row>
    <row r="24" spans="2:22" ht="32.25" customHeight="1">
      <c r="B24" s="35">
        <v>2</v>
      </c>
      <c r="C24" s="117" t="s">
        <v>488</v>
      </c>
      <c r="D24" s="93"/>
      <c r="E24" s="93"/>
      <c r="F24" s="93"/>
      <c r="G24" s="93"/>
      <c r="H24" s="93"/>
      <c r="I24" s="93"/>
      <c r="J24" s="93"/>
      <c r="K24" s="94"/>
      <c r="L24" s="44"/>
      <c r="M24" s="57"/>
      <c r="N24" s="58" t="s">
        <v>46</v>
      </c>
      <c r="O24" s="58"/>
      <c r="P24" s="59"/>
      <c r="R24" s="47" t="s">
        <v>384</v>
      </c>
    </row>
    <row r="25" spans="2:22" ht="32.25" customHeight="1">
      <c r="B25" s="41">
        <v>3</v>
      </c>
      <c r="C25" s="117" t="s">
        <v>489</v>
      </c>
      <c r="D25" s="93"/>
      <c r="E25" s="93"/>
      <c r="F25" s="93"/>
      <c r="G25" s="93"/>
      <c r="H25" s="93"/>
      <c r="I25" s="93"/>
      <c r="J25" s="93"/>
      <c r="K25" s="94"/>
      <c r="M25" s="57"/>
      <c r="N25" s="58" t="s">
        <v>46</v>
      </c>
      <c r="O25" s="58"/>
      <c r="P25" s="59"/>
      <c r="R25" s="47" t="s">
        <v>776</v>
      </c>
      <c r="V25" t="s">
        <v>777</v>
      </c>
    </row>
    <row r="26" spans="2:22" ht="32.25" customHeight="1">
      <c r="B26" s="41">
        <v>4</v>
      </c>
      <c r="C26" s="117" t="s">
        <v>490</v>
      </c>
      <c r="D26" s="93"/>
      <c r="E26" s="93"/>
      <c r="F26" s="93"/>
      <c r="G26" s="93"/>
      <c r="H26" s="93"/>
      <c r="I26" s="93"/>
      <c r="J26" s="93"/>
      <c r="K26" s="94"/>
      <c r="M26" s="57"/>
      <c r="N26" s="58" t="s">
        <v>46</v>
      </c>
      <c r="O26" s="58"/>
      <c r="P26" s="59"/>
    </row>
    <row r="27" spans="2:22" ht="32.25" customHeight="1">
      <c r="B27" s="41">
        <v>5</v>
      </c>
      <c r="C27" s="117" t="s">
        <v>491</v>
      </c>
      <c r="D27" s="93"/>
      <c r="E27" s="93"/>
      <c r="F27" s="93"/>
      <c r="G27" s="93"/>
      <c r="H27" s="93"/>
      <c r="I27" s="93"/>
      <c r="J27" s="93"/>
      <c r="K27" s="94"/>
      <c r="L27" s="42"/>
      <c r="M27" s="57" t="s">
        <v>46</v>
      </c>
      <c r="N27" s="58"/>
      <c r="O27" s="58"/>
      <c r="P27" s="59"/>
    </row>
    <row r="28" spans="2:22" ht="32.25" customHeight="1">
      <c r="B28" s="41">
        <v>6</v>
      </c>
      <c r="C28" s="117"/>
      <c r="D28" s="93"/>
      <c r="E28" s="93"/>
      <c r="F28" s="93"/>
      <c r="G28" s="93"/>
      <c r="H28" s="93"/>
      <c r="I28" s="93"/>
      <c r="J28" s="93"/>
      <c r="K28" s="94"/>
      <c r="L28" s="46"/>
      <c r="M28" s="57"/>
      <c r="N28" s="58"/>
      <c r="O28" s="58"/>
      <c r="P28" s="59"/>
    </row>
    <row r="29" spans="2:22" ht="32.25" customHeight="1">
      <c r="B29" s="35">
        <v>7</v>
      </c>
      <c r="C29" s="117"/>
      <c r="D29" s="93"/>
      <c r="E29" s="93"/>
      <c r="F29" s="93"/>
      <c r="G29" s="93"/>
      <c r="H29" s="93"/>
      <c r="I29" s="93"/>
      <c r="J29" s="93"/>
      <c r="K29" s="94"/>
      <c r="L29" s="46"/>
      <c r="M29" s="57"/>
      <c r="N29" s="58"/>
      <c r="O29" s="58"/>
      <c r="P29" s="59"/>
    </row>
    <row r="30" spans="2:22" ht="32.25" customHeight="1">
      <c r="B30" s="41">
        <v>8</v>
      </c>
      <c r="C30" s="117"/>
      <c r="D30" s="93"/>
      <c r="E30" s="93"/>
      <c r="F30" s="93"/>
      <c r="G30" s="93"/>
      <c r="H30" s="93"/>
      <c r="I30" s="93"/>
      <c r="J30" s="93"/>
      <c r="K30" s="94"/>
      <c r="L30" s="46"/>
      <c r="M30" s="57"/>
      <c r="N30" s="58"/>
      <c r="O30" s="58"/>
      <c r="P30" s="59"/>
    </row>
    <row r="31" spans="2:22" ht="32.25" customHeight="1">
      <c r="B31" s="41">
        <v>9</v>
      </c>
      <c r="C31" s="117"/>
      <c r="D31" s="93"/>
      <c r="E31" s="93"/>
      <c r="F31" s="93"/>
      <c r="G31" s="93"/>
      <c r="H31" s="93"/>
      <c r="I31" s="93"/>
      <c r="J31" s="93"/>
      <c r="K31" s="94"/>
      <c r="L31" s="46"/>
      <c r="M31" s="57"/>
      <c r="N31" s="58"/>
      <c r="O31" s="58"/>
      <c r="P31" s="59"/>
    </row>
    <row r="32" spans="2:22" ht="32.25" customHeight="1">
      <c r="B32" s="41">
        <v>10</v>
      </c>
      <c r="C32" s="117"/>
      <c r="D32" s="93"/>
      <c r="E32" s="93"/>
      <c r="F32" s="93"/>
      <c r="G32" s="93"/>
      <c r="H32" s="93"/>
      <c r="I32" s="93"/>
      <c r="J32" s="93"/>
      <c r="K32" s="94"/>
      <c r="L32" s="46"/>
      <c r="M32" s="57"/>
      <c r="N32" s="58"/>
      <c r="O32" s="58"/>
      <c r="P32" s="59"/>
    </row>
    <row r="33" spans="2:16" ht="32.25" customHeight="1">
      <c r="B33" s="41">
        <v>11</v>
      </c>
      <c r="C33" s="117"/>
      <c r="D33" s="93"/>
      <c r="E33" s="93"/>
      <c r="F33" s="93"/>
      <c r="G33" s="93"/>
      <c r="H33" s="93"/>
      <c r="I33" s="93"/>
      <c r="J33" s="93"/>
      <c r="K33" s="94"/>
      <c r="L33" s="46"/>
      <c r="M33" s="57"/>
      <c r="N33" s="58"/>
      <c r="O33" s="58"/>
      <c r="P33" s="59"/>
    </row>
    <row r="34" spans="2:16" ht="32.25" customHeight="1">
      <c r="B34" s="35">
        <v>12</v>
      </c>
      <c r="C34" s="117"/>
      <c r="D34" s="93"/>
      <c r="E34" s="93"/>
      <c r="F34" s="93"/>
      <c r="G34" s="93"/>
      <c r="H34" s="93"/>
      <c r="I34" s="93"/>
      <c r="J34" s="93"/>
      <c r="K34" s="94"/>
      <c r="L34" s="46"/>
      <c r="M34" s="57"/>
      <c r="N34" s="58"/>
      <c r="O34" s="58"/>
      <c r="P34" s="59"/>
    </row>
    <row r="35" spans="2:16" ht="32.25" customHeight="1">
      <c r="B35" s="41">
        <v>13</v>
      </c>
      <c r="C35" s="117"/>
      <c r="D35" s="93"/>
      <c r="E35" s="93"/>
      <c r="F35" s="93"/>
      <c r="G35" s="93"/>
      <c r="H35" s="93"/>
      <c r="I35" s="93"/>
      <c r="J35" s="93"/>
      <c r="K35" s="94"/>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s>
  <hyperlinks>
    <hyperlink ref="V2" location="'REQ. NO FUN. GEN'!A1" display="Volver" xr:uid="{00000000-0004-0000-1900-000000000000}"/>
  </hyperlink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V1000"/>
  <sheetViews>
    <sheetView topLeftCell="A14" workbookViewId="0">
      <selection activeCell="M29" sqref="M29"/>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35" t="s">
        <v>492</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2.25" customHeight="1">
      <c r="B12" s="41">
        <v>1</v>
      </c>
      <c r="C12" s="117"/>
      <c r="D12" s="93"/>
      <c r="E12" s="93"/>
      <c r="F12" s="93"/>
      <c r="G12" s="93"/>
      <c r="H12" s="93"/>
      <c r="I12" s="93"/>
      <c r="J12" s="93"/>
      <c r="K12" s="94"/>
      <c r="L12" s="42"/>
      <c r="M12" s="57"/>
      <c r="N12" s="58"/>
      <c r="O12" s="58"/>
      <c r="P12" s="59"/>
    </row>
    <row r="13" spans="2:22" ht="32.25" customHeight="1">
      <c r="B13" s="35">
        <v>2</v>
      </c>
      <c r="C13" s="117"/>
      <c r="D13" s="93"/>
      <c r="E13" s="93"/>
      <c r="F13" s="93"/>
      <c r="G13" s="93"/>
      <c r="H13" s="93"/>
      <c r="I13" s="93"/>
      <c r="J13" s="93"/>
      <c r="K13" s="94"/>
      <c r="L13" s="44"/>
      <c r="M13" s="57"/>
      <c r="N13" s="58"/>
      <c r="O13" s="58"/>
      <c r="P13" s="59"/>
    </row>
    <row r="14" spans="2:22" ht="32.25" customHeight="1">
      <c r="B14" s="41">
        <v>3</v>
      </c>
      <c r="C14" s="117"/>
      <c r="D14" s="93"/>
      <c r="E14" s="93"/>
      <c r="F14" s="93"/>
      <c r="G14" s="93"/>
      <c r="H14" s="93"/>
      <c r="I14" s="93"/>
      <c r="J14" s="93"/>
      <c r="K14" s="94"/>
      <c r="M14" s="57"/>
      <c r="N14" s="58"/>
      <c r="O14" s="58"/>
      <c r="P14" s="59"/>
    </row>
    <row r="15" spans="2:22" ht="32.25" customHeight="1">
      <c r="B15" s="41">
        <v>4</v>
      </c>
      <c r="C15" s="117"/>
      <c r="D15" s="93"/>
      <c r="E15" s="93"/>
      <c r="F15" s="93"/>
      <c r="G15" s="93"/>
      <c r="H15" s="93"/>
      <c r="I15" s="93"/>
      <c r="J15" s="93"/>
      <c r="K15" s="94"/>
      <c r="M15" s="57"/>
      <c r="N15" s="58"/>
      <c r="O15" s="58"/>
      <c r="P15" s="59"/>
    </row>
    <row r="16" spans="2:22" ht="32.25" customHeight="1">
      <c r="B16" s="41">
        <v>5</v>
      </c>
      <c r="C16" s="117"/>
      <c r="D16" s="93"/>
      <c r="E16" s="93"/>
      <c r="F16" s="93"/>
      <c r="G16" s="93"/>
      <c r="H16" s="93"/>
      <c r="I16" s="93"/>
      <c r="J16" s="93"/>
      <c r="K16" s="94"/>
      <c r="L16" s="42"/>
      <c r="M16" s="57"/>
      <c r="N16" s="58"/>
      <c r="O16" s="58"/>
      <c r="P16" s="59"/>
    </row>
    <row r="17" spans="2:18" ht="32.25" customHeight="1">
      <c r="B17" s="35">
        <v>6</v>
      </c>
      <c r="C17" s="117"/>
      <c r="D17" s="93"/>
      <c r="E17" s="93"/>
      <c r="F17" s="93"/>
      <c r="G17" s="93"/>
      <c r="H17" s="93"/>
      <c r="I17" s="93"/>
      <c r="J17" s="93"/>
      <c r="K17" s="94"/>
      <c r="L17" s="44"/>
      <c r="M17" s="57"/>
      <c r="N17" s="58"/>
      <c r="O17" s="58"/>
      <c r="P17" s="59"/>
    </row>
    <row r="18" spans="2:18" ht="14.25" customHeight="1"/>
    <row r="19" spans="2:18" ht="14.25" customHeight="1"/>
    <row r="20" spans="2:18" ht="14.25" customHeight="1">
      <c r="B20" s="35"/>
      <c r="C20" s="125" t="s">
        <v>493</v>
      </c>
      <c r="D20" s="99"/>
      <c r="E20" s="99"/>
      <c r="F20" s="99"/>
      <c r="G20" s="99"/>
      <c r="H20" s="99"/>
      <c r="I20" s="99"/>
      <c r="J20" s="100"/>
      <c r="K20" s="36"/>
    </row>
    <row r="21" spans="2:18" ht="14.25" customHeight="1"/>
    <row r="22" spans="2:18" ht="14.25" customHeight="1">
      <c r="B22" s="35"/>
      <c r="C22" s="125"/>
      <c r="D22" s="99"/>
      <c r="E22" s="99"/>
      <c r="F22" s="99"/>
      <c r="G22" s="99"/>
      <c r="H22" s="99"/>
      <c r="I22" s="99"/>
      <c r="J22" s="100"/>
      <c r="K22" s="36"/>
    </row>
    <row r="23" spans="2:18" ht="32.25" customHeight="1">
      <c r="B23" s="41">
        <v>1</v>
      </c>
      <c r="C23" s="117" t="s">
        <v>494</v>
      </c>
      <c r="D23" s="93"/>
      <c r="E23" s="93"/>
      <c r="F23" s="93"/>
      <c r="G23" s="93"/>
      <c r="H23" s="93"/>
      <c r="I23" s="93"/>
      <c r="J23" s="93"/>
      <c r="K23" s="94"/>
      <c r="L23" s="42"/>
      <c r="M23" s="57" t="s">
        <v>46</v>
      </c>
      <c r="N23" s="58"/>
      <c r="O23" s="58"/>
      <c r="P23" s="59"/>
    </row>
    <row r="24" spans="2:18" ht="32.25" customHeight="1">
      <c r="B24" s="35">
        <v>2</v>
      </c>
      <c r="C24" s="117" t="s">
        <v>495</v>
      </c>
      <c r="D24" s="93"/>
      <c r="E24" s="93"/>
      <c r="F24" s="93"/>
      <c r="G24" s="93"/>
      <c r="H24" s="93"/>
      <c r="I24" s="93"/>
      <c r="J24" s="93"/>
      <c r="K24" s="94"/>
      <c r="L24" s="44"/>
      <c r="M24" s="57"/>
      <c r="N24" s="58" t="s">
        <v>46</v>
      </c>
      <c r="O24" s="58"/>
      <c r="P24" s="59"/>
      <c r="R24" s="47" t="s">
        <v>452</v>
      </c>
    </row>
    <row r="25" spans="2:18" ht="32.25" customHeight="1">
      <c r="B25" s="41">
        <v>3</v>
      </c>
      <c r="C25" s="117" t="s">
        <v>496</v>
      </c>
      <c r="D25" s="93"/>
      <c r="E25" s="93"/>
      <c r="F25" s="93"/>
      <c r="G25" s="93"/>
      <c r="H25" s="93"/>
      <c r="I25" s="93"/>
      <c r="J25" s="93"/>
      <c r="K25" s="94"/>
      <c r="M25" s="57"/>
      <c r="N25" s="58" t="s">
        <v>46</v>
      </c>
      <c r="O25" s="58"/>
      <c r="P25" s="59"/>
    </row>
    <row r="26" spans="2:18" ht="32.25" customHeight="1">
      <c r="B26" s="41">
        <v>4</v>
      </c>
      <c r="C26" s="117" t="s">
        <v>497</v>
      </c>
      <c r="D26" s="93"/>
      <c r="E26" s="93"/>
      <c r="F26" s="93"/>
      <c r="G26" s="93"/>
      <c r="H26" s="93"/>
      <c r="I26" s="93"/>
      <c r="J26" s="93"/>
      <c r="K26" s="94"/>
      <c r="M26" s="57" t="s">
        <v>46</v>
      </c>
      <c r="N26" s="58"/>
      <c r="O26" s="58"/>
      <c r="P26" s="59"/>
    </row>
    <row r="27" spans="2:18" ht="32.25" customHeight="1">
      <c r="B27" s="41">
        <v>5</v>
      </c>
      <c r="C27" s="117" t="s">
        <v>498</v>
      </c>
      <c r="D27" s="93"/>
      <c r="E27" s="93"/>
      <c r="F27" s="93"/>
      <c r="G27" s="93"/>
      <c r="H27" s="93"/>
      <c r="I27" s="93"/>
      <c r="J27" s="93"/>
      <c r="K27" s="94"/>
      <c r="L27" s="42"/>
      <c r="M27" s="57" t="s">
        <v>46</v>
      </c>
      <c r="N27" s="58"/>
      <c r="O27" s="58"/>
      <c r="P27" s="59"/>
      <c r="R27" s="47" t="s">
        <v>384</v>
      </c>
    </row>
    <row r="28" spans="2:18" ht="32.25" customHeight="1">
      <c r="B28" s="41">
        <v>6</v>
      </c>
      <c r="C28" s="117" t="s">
        <v>499</v>
      </c>
      <c r="D28" s="93"/>
      <c r="E28" s="93"/>
      <c r="F28" s="93"/>
      <c r="G28" s="93"/>
      <c r="H28" s="93"/>
      <c r="I28" s="93"/>
      <c r="J28" s="93"/>
      <c r="K28" s="94"/>
      <c r="L28" s="46"/>
      <c r="M28" s="57" t="s">
        <v>46</v>
      </c>
      <c r="N28" s="58"/>
      <c r="O28" s="58"/>
      <c r="P28" s="59"/>
      <c r="R28" s="47" t="s">
        <v>384</v>
      </c>
    </row>
    <row r="29" spans="2:18" ht="32.25" customHeight="1">
      <c r="B29" s="35">
        <v>7</v>
      </c>
      <c r="C29" s="117" t="s">
        <v>500</v>
      </c>
      <c r="D29" s="93"/>
      <c r="E29" s="93"/>
      <c r="F29" s="93"/>
      <c r="G29" s="93"/>
      <c r="H29" s="93"/>
      <c r="I29" s="93"/>
      <c r="J29" s="93"/>
      <c r="K29" s="94"/>
      <c r="L29" s="46"/>
      <c r="M29" s="57"/>
      <c r="N29" s="58" t="s">
        <v>46</v>
      </c>
      <c r="O29" s="58"/>
      <c r="P29" s="59"/>
    </row>
    <row r="30" spans="2:18" ht="32.25" customHeight="1">
      <c r="B30" s="41">
        <v>8</v>
      </c>
      <c r="C30" s="117" t="s">
        <v>501</v>
      </c>
      <c r="D30" s="93"/>
      <c r="E30" s="93"/>
      <c r="F30" s="93"/>
      <c r="G30" s="93"/>
      <c r="H30" s="93"/>
      <c r="I30" s="93"/>
      <c r="J30" s="93"/>
      <c r="K30" s="94"/>
      <c r="L30" s="46"/>
      <c r="M30" s="57" t="s">
        <v>46</v>
      </c>
      <c r="N30" s="58"/>
      <c r="O30" s="58"/>
      <c r="P30" s="59"/>
    </row>
    <row r="31" spans="2:18" ht="32.25" customHeight="1">
      <c r="B31" s="41">
        <v>9</v>
      </c>
      <c r="C31" s="117" t="s">
        <v>502</v>
      </c>
      <c r="D31" s="93"/>
      <c r="E31" s="93"/>
      <c r="F31" s="93"/>
      <c r="G31" s="93"/>
      <c r="H31" s="93"/>
      <c r="I31" s="93"/>
      <c r="J31" s="93"/>
      <c r="K31" s="94"/>
      <c r="L31" s="46"/>
      <c r="M31" s="57" t="s">
        <v>46</v>
      </c>
      <c r="N31" s="58"/>
      <c r="O31" s="58"/>
      <c r="P31" s="59"/>
    </row>
    <row r="32" spans="2:18" ht="32.25" customHeight="1">
      <c r="B32" s="41">
        <v>10</v>
      </c>
      <c r="C32" s="117" t="s">
        <v>503</v>
      </c>
      <c r="D32" s="93"/>
      <c r="E32" s="93"/>
      <c r="F32" s="93"/>
      <c r="G32" s="93"/>
      <c r="H32" s="93"/>
      <c r="I32" s="93"/>
      <c r="J32" s="93"/>
      <c r="K32" s="94"/>
      <c r="L32" s="46"/>
      <c r="M32" s="57"/>
      <c r="N32" s="58" t="s">
        <v>46</v>
      </c>
      <c r="O32" s="58"/>
      <c r="P32" s="59"/>
    </row>
    <row r="33" spans="2:16" ht="32.25" customHeight="1">
      <c r="B33" s="41">
        <v>11</v>
      </c>
      <c r="C33" s="117"/>
      <c r="D33" s="93"/>
      <c r="E33" s="93"/>
      <c r="F33" s="93"/>
      <c r="G33" s="93"/>
      <c r="H33" s="93"/>
      <c r="I33" s="93"/>
      <c r="J33" s="93"/>
      <c r="K33" s="94"/>
      <c r="L33" s="46"/>
      <c r="M33" s="57"/>
      <c r="N33" s="58"/>
      <c r="O33" s="58"/>
      <c r="P33" s="59"/>
    </row>
    <row r="34" spans="2:16" ht="32.25" customHeight="1">
      <c r="B34" s="35">
        <v>12</v>
      </c>
      <c r="C34" s="117"/>
      <c r="D34" s="93"/>
      <c r="E34" s="93"/>
      <c r="F34" s="93"/>
      <c r="G34" s="93"/>
      <c r="H34" s="93"/>
      <c r="I34" s="93"/>
      <c r="J34" s="93"/>
      <c r="K34" s="94"/>
      <c r="L34" s="46"/>
      <c r="M34" s="57"/>
      <c r="N34" s="58"/>
      <c r="O34" s="58"/>
      <c r="P34" s="59"/>
    </row>
    <row r="35" spans="2:16" ht="32.25" customHeight="1">
      <c r="B35" s="41">
        <v>13</v>
      </c>
      <c r="C35" s="117"/>
      <c r="D35" s="93"/>
      <c r="E35" s="93"/>
      <c r="F35" s="93"/>
      <c r="G35" s="93"/>
      <c r="H35" s="93"/>
      <c r="I35" s="93"/>
      <c r="J35" s="93"/>
      <c r="K35" s="94"/>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s>
  <hyperlinks>
    <hyperlink ref="V2" location="'REQ. FUN. GEN'!A1" display="Volver" xr:uid="{00000000-0004-0000-1A00-000000000000}"/>
  </hyperlink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V1000"/>
  <sheetViews>
    <sheetView topLeftCell="A14" workbookViewId="0">
      <selection activeCell="M27" sqref="M27"/>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6"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35" t="s">
        <v>504</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2.25" customHeight="1">
      <c r="B12" s="41">
        <v>1</v>
      </c>
      <c r="C12" s="117"/>
      <c r="D12" s="93"/>
      <c r="E12" s="93"/>
      <c r="F12" s="93"/>
      <c r="G12" s="93"/>
      <c r="H12" s="93"/>
      <c r="I12" s="93"/>
      <c r="J12" s="93"/>
      <c r="K12" s="94"/>
      <c r="L12" s="42"/>
      <c r="M12" s="57"/>
      <c r="N12" s="58"/>
      <c r="O12" s="58"/>
      <c r="P12" s="59"/>
    </row>
    <row r="13" spans="2:22" ht="32.25" customHeight="1">
      <c r="B13" s="35">
        <v>2</v>
      </c>
      <c r="C13" s="117"/>
      <c r="D13" s="93"/>
      <c r="E13" s="93"/>
      <c r="F13" s="93"/>
      <c r="G13" s="93"/>
      <c r="H13" s="93"/>
      <c r="I13" s="93"/>
      <c r="J13" s="93"/>
      <c r="K13" s="94"/>
      <c r="L13" s="44"/>
      <c r="M13" s="57"/>
      <c r="N13" s="58"/>
      <c r="O13" s="58"/>
      <c r="P13" s="59"/>
    </row>
    <row r="14" spans="2:22" ht="32.25" customHeight="1">
      <c r="B14" s="41">
        <v>3</v>
      </c>
      <c r="C14" s="117"/>
      <c r="D14" s="93"/>
      <c r="E14" s="93"/>
      <c r="F14" s="93"/>
      <c r="G14" s="93"/>
      <c r="H14" s="93"/>
      <c r="I14" s="93"/>
      <c r="J14" s="93"/>
      <c r="K14" s="94"/>
      <c r="M14" s="57"/>
      <c r="N14" s="58"/>
      <c r="O14" s="58"/>
      <c r="P14" s="59"/>
    </row>
    <row r="15" spans="2:22" ht="32.25" customHeight="1">
      <c r="B15" s="41">
        <v>4</v>
      </c>
      <c r="C15" s="117"/>
      <c r="D15" s="93"/>
      <c r="E15" s="93"/>
      <c r="F15" s="93"/>
      <c r="G15" s="93"/>
      <c r="H15" s="93"/>
      <c r="I15" s="93"/>
      <c r="J15" s="93"/>
      <c r="K15" s="94"/>
      <c r="M15" s="57"/>
      <c r="N15" s="58"/>
      <c r="O15" s="58"/>
      <c r="P15" s="59"/>
    </row>
    <row r="16" spans="2:22" ht="32.25" customHeight="1">
      <c r="B16" s="41">
        <v>5</v>
      </c>
      <c r="C16" s="117"/>
      <c r="D16" s="93"/>
      <c r="E16" s="93"/>
      <c r="F16" s="93"/>
      <c r="G16" s="93"/>
      <c r="H16" s="93"/>
      <c r="I16" s="93"/>
      <c r="J16" s="93"/>
      <c r="K16" s="94"/>
      <c r="L16" s="42"/>
      <c r="M16" s="57"/>
      <c r="N16" s="58"/>
      <c r="O16" s="58"/>
      <c r="P16" s="59"/>
    </row>
    <row r="17" spans="2:18" ht="32.25" customHeight="1">
      <c r="B17" s="35">
        <v>6</v>
      </c>
      <c r="C17" s="117"/>
      <c r="D17" s="93"/>
      <c r="E17" s="93"/>
      <c r="F17" s="93"/>
      <c r="G17" s="93"/>
      <c r="H17" s="93"/>
      <c r="I17" s="93"/>
      <c r="J17" s="93"/>
      <c r="K17" s="94"/>
      <c r="L17" s="44"/>
      <c r="M17" s="57"/>
      <c r="N17" s="58"/>
      <c r="O17" s="58"/>
      <c r="P17" s="59"/>
    </row>
    <row r="18" spans="2:18" ht="14.25" customHeight="1"/>
    <row r="19" spans="2:18" ht="14.25" customHeight="1"/>
    <row r="20" spans="2:18" ht="14.25" customHeight="1">
      <c r="B20" s="35"/>
      <c r="C20" s="125" t="s">
        <v>505</v>
      </c>
      <c r="D20" s="99"/>
      <c r="E20" s="99"/>
      <c r="F20" s="99"/>
      <c r="G20" s="99"/>
      <c r="H20" s="99"/>
      <c r="I20" s="99"/>
      <c r="J20" s="100"/>
      <c r="K20" s="36"/>
    </row>
    <row r="21" spans="2:18" ht="14.25" customHeight="1"/>
    <row r="22" spans="2:18" ht="14.25" customHeight="1">
      <c r="B22" s="35"/>
      <c r="C22" s="125"/>
      <c r="D22" s="99"/>
      <c r="E22" s="99"/>
      <c r="F22" s="99"/>
      <c r="G22" s="99"/>
      <c r="H22" s="99"/>
      <c r="I22" s="99"/>
      <c r="J22" s="100"/>
      <c r="K22" s="36"/>
    </row>
    <row r="23" spans="2:18" ht="32.25" customHeight="1">
      <c r="B23" s="41">
        <v>1</v>
      </c>
      <c r="C23" s="117" t="s">
        <v>506</v>
      </c>
      <c r="D23" s="93"/>
      <c r="E23" s="93"/>
      <c r="F23" s="93"/>
      <c r="G23" s="93"/>
      <c r="H23" s="93"/>
      <c r="I23" s="93"/>
      <c r="J23" s="93"/>
      <c r="K23" s="94"/>
      <c r="L23" s="42"/>
      <c r="M23" s="57" t="s">
        <v>46</v>
      </c>
      <c r="N23" s="58"/>
      <c r="O23" s="58"/>
      <c r="P23" s="59"/>
    </row>
    <row r="24" spans="2:18" ht="32.25" customHeight="1">
      <c r="B24" s="35">
        <v>2</v>
      </c>
      <c r="C24" s="117" t="s">
        <v>507</v>
      </c>
      <c r="D24" s="93"/>
      <c r="E24" s="93"/>
      <c r="F24" s="93"/>
      <c r="G24" s="93"/>
      <c r="H24" s="93"/>
      <c r="I24" s="93"/>
      <c r="J24" s="93"/>
      <c r="K24" s="94"/>
      <c r="L24" s="44"/>
      <c r="M24" s="57"/>
      <c r="N24" s="58" t="s">
        <v>46</v>
      </c>
      <c r="O24" s="58"/>
      <c r="P24" s="59"/>
      <c r="R24" s="61" t="s">
        <v>452</v>
      </c>
    </row>
    <row r="25" spans="2:18" ht="32.25" customHeight="1">
      <c r="B25" s="41">
        <v>3</v>
      </c>
      <c r="C25" s="117" t="s">
        <v>508</v>
      </c>
      <c r="D25" s="93"/>
      <c r="E25" s="93"/>
      <c r="F25" s="93"/>
      <c r="G25" s="93"/>
      <c r="H25" s="93"/>
      <c r="I25" s="93"/>
      <c r="J25" s="93"/>
      <c r="K25" s="94"/>
      <c r="M25" s="57" t="s">
        <v>46</v>
      </c>
      <c r="N25" s="58"/>
      <c r="O25" s="58"/>
      <c r="P25" s="59"/>
    </row>
    <row r="26" spans="2:18" ht="32.25" customHeight="1">
      <c r="B26" s="41">
        <v>4</v>
      </c>
      <c r="C26" s="117" t="s">
        <v>509</v>
      </c>
      <c r="D26" s="93"/>
      <c r="E26" s="93"/>
      <c r="F26" s="93"/>
      <c r="G26" s="93"/>
      <c r="H26" s="93"/>
      <c r="I26" s="93"/>
      <c r="J26" s="93"/>
      <c r="K26" s="94"/>
      <c r="M26" s="57"/>
      <c r="N26" s="58" t="s">
        <v>46</v>
      </c>
      <c r="O26" s="58"/>
      <c r="P26" s="59"/>
      <c r="R26" s="61" t="s">
        <v>452</v>
      </c>
    </row>
    <row r="27" spans="2:18" ht="32.25" customHeight="1">
      <c r="B27" s="41">
        <v>5</v>
      </c>
      <c r="C27" s="117" t="s">
        <v>510</v>
      </c>
      <c r="D27" s="93"/>
      <c r="E27" s="93"/>
      <c r="F27" s="93"/>
      <c r="G27" s="93"/>
      <c r="H27" s="93"/>
      <c r="I27" s="93"/>
      <c r="J27" s="93"/>
      <c r="K27" s="94"/>
      <c r="L27" s="42"/>
      <c r="M27" s="57"/>
      <c r="N27" s="58" t="s">
        <v>46</v>
      </c>
      <c r="O27" s="58"/>
      <c r="P27" s="59"/>
    </row>
    <row r="28" spans="2:18" ht="32.25" customHeight="1">
      <c r="B28" s="41">
        <v>6</v>
      </c>
      <c r="C28" s="117"/>
      <c r="D28" s="93"/>
      <c r="E28" s="93"/>
      <c r="F28" s="93"/>
      <c r="G28" s="93"/>
      <c r="H28" s="93"/>
      <c r="I28" s="93"/>
      <c r="J28" s="93"/>
      <c r="K28" s="94"/>
      <c r="L28" s="46"/>
      <c r="M28" s="57"/>
      <c r="N28" s="58"/>
      <c r="O28" s="58"/>
      <c r="P28" s="59"/>
    </row>
    <row r="29" spans="2:18" ht="32.25" customHeight="1">
      <c r="B29" s="35">
        <v>7</v>
      </c>
      <c r="C29" s="117"/>
      <c r="D29" s="93"/>
      <c r="E29" s="93"/>
      <c r="F29" s="93"/>
      <c r="G29" s="93"/>
      <c r="H29" s="93"/>
      <c r="I29" s="93"/>
      <c r="J29" s="93"/>
      <c r="K29" s="94"/>
      <c r="L29" s="46"/>
      <c r="M29" s="57"/>
      <c r="N29" s="58"/>
      <c r="O29" s="58"/>
      <c r="P29" s="59"/>
    </row>
    <row r="30" spans="2:18" ht="32.25" customHeight="1">
      <c r="B30" s="41">
        <v>8</v>
      </c>
      <c r="C30" s="117"/>
      <c r="D30" s="93"/>
      <c r="E30" s="93"/>
      <c r="F30" s="93"/>
      <c r="G30" s="93"/>
      <c r="H30" s="93"/>
      <c r="I30" s="93"/>
      <c r="J30" s="93"/>
      <c r="K30" s="94"/>
      <c r="L30" s="46"/>
      <c r="M30" s="57"/>
      <c r="N30" s="58"/>
      <c r="O30" s="58"/>
      <c r="P30" s="59"/>
    </row>
    <row r="31" spans="2:18" ht="32.25" customHeight="1">
      <c r="B31" s="41">
        <v>9</v>
      </c>
      <c r="C31" s="117"/>
      <c r="D31" s="93"/>
      <c r="E31" s="93"/>
      <c r="F31" s="93"/>
      <c r="G31" s="93"/>
      <c r="H31" s="93"/>
      <c r="I31" s="93"/>
      <c r="J31" s="93"/>
      <c r="K31" s="94"/>
      <c r="L31" s="46"/>
      <c r="M31" s="57"/>
      <c r="N31" s="58"/>
      <c r="O31" s="58"/>
      <c r="P31" s="59"/>
    </row>
    <row r="32" spans="2:18" ht="32.25" customHeight="1">
      <c r="B32" s="41">
        <v>10</v>
      </c>
      <c r="C32" s="117"/>
      <c r="D32" s="93"/>
      <c r="E32" s="93"/>
      <c r="F32" s="93"/>
      <c r="G32" s="93"/>
      <c r="H32" s="93"/>
      <c r="I32" s="93"/>
      <c r="J32" s="93"/>
      <c r="K32" s="94"/>
      <c r="L32" s="46"/>
      <c r="M32" s="57"/>
      <c r="N32" s="58"/>
      <c r="O32" s="58"/>
      <c r="P32" s="59"/>
    </row>
    <row r="33" spans="2:16" ht="32.25" customHeight="1">
      <c r="B33" s="41">
        <v>11</v>
      </c>
      <c r="C33" s="117"/>
      <c r="D33" s="93"/>
      <c r="E33" s="93"/>
      <c r="F33" s="93"/>
      <c r="G33" s="93"/>
      <c r="H33" s="93"/>
      <c r="I33" s="93"/>
      <c r="J33" s="93"/>
      <c r="K33" s="94"/>
      <c r="L33" s="46"/>
      <c r="M33" s="57"/>
      <c r="N33" s="58"/>
      <c r="O33" s="58"/>
      <c r="P33" s="59"/>
    </row>
    <row r="34" spans="2:16" ht="32.25" customHeight="1">
      <c r="B34" s="35">
        <v>12</v>
      </c>
      <c r="C34" s="117"/>
      <c r="D34" s="93"/>
      <c r="E34" s="93"/>
      <c r="F34" s="93"/>
      <c r="G34" s="93"/>
      <c r="H34" s="93"/>
      <c r="I34" s="93"/>
      <c r="J34" s="93"/>
      <c r="K34" s="94"/>
      <c r="L34" s="46"/>
      <c r="M34" s="57"/>
      <c r="N34" s="58"/>
      <c r="O34" s="58"/>
      <c r="P34" s="59"/>
    </row>
    <row r="35" spans="2:16" ht="32.25" customHeight="1">
      <c r="B35" s="41">
        <v>13</v>
      </c>
      <c r="C35" s="117"/>
      <c r="D35" s="93"/>
      <c r="E35" s="93"/>
      <c r="F35" s="93"/>
      <c r="G35" s="93"/>
      <c r="H35" s="93"/>
      <c r="I35" s="93"/>
      <c r="J35" s="93"/>
      <c r="K35" s="94"/>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s>
  <hyperlinks>
    <hyperlink ref="V2" location="'REQ. NO FUN. GEN'!A1" display="Volver" xr:uid="{00000000-0004-0000-1B00-000000000000}"/>
  </hyperlink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V1000"/>
  <sheetViews>
    <sheetView topLeftCell="A18" workbookViewId="0"/>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35" t="s">
        <v>511</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2.25" customHeight="1">
      <c r="B12" s="41">
        <v>1</v>
      </c>
      <c r="C12" s="117"/>
      <c r="D12" s="93"/>
      <c r="E12" s="93"/>
      <c r="F12" s="93"/>
      <c r="G12" s="93"/>
      <c r="H12" s="93"/>
      <c r="I12" s="93"/>
      <c r="J12" s="93"/>
      <c r="K12" s="94"/>
      <c r="L12" s="42"/>
      <c r="M12" s="57"/>
      <c r="N12" s="58"/>
      <c r="O12" s="58"/>
      <c r="P12" s="59"/>
    </row>
    <row r="13" spans="2:22" ht="32.25" customHeight="1">
      <c r="B13" s="35">
        <v>2</v>
      </c>
      <c r="C13" s="117"/>
      <c r="D13" s="93"/>
      <c r="E13" s="93"/>
      <c r="F13" s="93"/>
      <c r="G13" s="93"/>
      <c r="H13" s="93"/>
      <c r="I13" s="93"/>
      <c r="J13" s="93"/>
      <c r="K13" s="94"/>
      <c r="L13" s="44"/>
      <c r="M13" s="57"/>
      <c r="N13" s="58"/>
      <c r="O13" s="58"/>
      <c r="P13" s="59"/>
    </row>
    <row r="14" spans="2:22" ht="32.25" customHeight="1">
      <c r="B14" s="41">
        <v>3</v>
      </c>
      <c r="C14" s="117"/>
      <c r="D14" s="93"/>
      <c r="E14" s="93"/>
      <c r="F14" s="93"/>
      <c r="G14" s="93"/>
      <c r="H14" s="93"/>
      <c r="I14" s="93"/>
      <c r="J14" s="93"/>
      <c r="K14" s="94"/>
      <c r="M14" s="57"/>
      <c r="N14" s="58"/>
      <c r="O14" s="58"/>
      <c r="P14" s="59"/>
    </row>
    <row r="15" spans="2:22" ht="32.25" customHeight="1">
      <c r="B15" s="41">
        <v>4</v>
      </c>
      <c r="C15" s="117"/>
      <c r="D15" s="93"/>
      <c r="E15" s="93"/>
      <c r="F15" s="93"/>
      <c r="G15" s="93"/>
      <c r="H15" s="93"/>
      <c r="I15" s="93"/>
      <c r="J15" s="93"/>
      <c r="K15" s="94"/>
      <c r="M15" s="57"/>
      <c r="N15" s="58"/>
      <c r="O15" s="58"/>
      <c r="P15" s="59"/>
    </row>
    <row r="16" spans="2:22" ht="32.25" customHeight="1">
      <c r="B16" s="41">
        <v>5</v>
      </c>
      <c r="C16" s="117"/>
      <c r="D16" s="93"/>
      <c r="E16" s="93"/>
      <c r="F16" s="93"/>
      <c r="G16" s="93"/>
      <c r="H16" s="93"/>
      <c r="I16" s="93"/>
      <c r="J16" s="93"/>
      <c r="K16" s="94"/>
      <c r="L16" s="42"/>
      <c r="M16" s="57"/>
      <c r="N16" s="58"/>
      <c r="O16" s="58"/>
      <c r="P16" s="59"/>
    </row>
    <row r="17" spans="2:18" ht="32.25" customHeight="1">
      <c r="B17" s="35">
        <v>6</v>
      </c>
      <c r="C17" s="117"/>
      <c r="D17" s="93"/>
      <c r="E17" s="93"/>
      <c r="F17" s="93"/>
      <c r="G17" s="93"/>
      <c r="H17" s="93"/>
      <c r="I17" s="93"/>
      <c r="J17" s="93"/>
      <c r="K17" s="94"/>
      <c r="L17" s="44"/>
      <c r="M17" s="57"/>
      <c r="N17" s="58"/>
      <c r="O17" s="58"/>
      <c r="P17" s="59"/>
    </row>
    <row r="18" spans="2:18" ht="14.25" customHeight="1"/>
    <row r="19" spans="2:18" ht="14.25" customHeight="1"/>
    <row r="20" spans="2:18" ht="14.25" customHeight="1">
      <c r="B20" s="35"/>
      <c r="C20" s="125" t="s">
        <v>512</v>
      </c>
      <c r="D20" s="99"/>
      <c r="E20" s="99"/>
      <c r="F20" s="99"/>
      <c r="G20" s="99"/>
      <c r="H20" s="99"/>
      <c r="I20" s="99"/>
      <c r="J20" s="100"/>
      <c r="K20" s="36"/>
    </row>
    <row r="21" spans="2:18" ht="14.25" customHeight="1"/>
    <row r="22" spans="2:18" ht="14.25" customHeight="1">
      <c r="B22" s="35"/>
      <c r="C22" s="125"/>
      <c r="D22" s="99"/>
      <c r="E22" s="99"/>
      <c r="F22" s="99"/>
      <c r="G22" s="99"/>
      <c r="H22" s="99"/>
      <c r="I22" s="99"/>
      <c r="J22" s="100"/>
      <c r="K22" s="36"/>
    </row>
    <row r="23" spans="2:18" ht="32.25" customHeight="1">
      <c r="B23" s="41">
        <v>1</v>
      </c>
      <c r="C23" s="117" t="s">
        <v>513</v>
      </c>
      <c r="D23" s="93"/>
      <c r="E23" s="93"/>
      <c r="F23" s="93"/>
      <c r="G23" s="93"/>
      <c r="H23" s="93"/>
      <c r="I23" s="93"/>
      <c r="J23" s="93"/>
      <c r="K23" s="94"/>
      <c r="L23" s="42"/>
      <c r="M23" s="57" t="s">
        <v>46</v>
      </c>
      <c r="N23" s="58"/>
      <c r="O23" s="58"/>
      <c r="P23" s="59"/>
    </row>
    <row r="24" spans="2:18" ht="32.25" customHeight="1">
      <c r="B24" s="35">
        <v>2</v>
      </c>
      <c r="C24" s="117" t="s">
        <v>514</v>
      </c>
      <c r="D24" s="93"/>
      <c r="E24" s="93"/>
      <c r="F24" s="93"/>
      <c r="G24" s="93"/>
      <c r="H24" s="93"/>
      <c r="I24" s="93"/>
      <c r="J24" s="93"/>
      <c r="K24" s="94"/>
      <c r="L24" s="44"/>
      <c r="M24" s="57"/>
      <c r="N24" s="58" t="s">
        <v>46</v>
      </c>
      <c r="O24" s="58"/>
      <c r="P24" s="59"/>
      <c r="R24" s="47" t="s">
        <v>384</v>
      </c>
    </row>
    <row r="25" spans="2:18" ht="32.25" customHeight="1">
      <c r="B25" s="41">
        <v>3</v>
      </c>
      <c r="C25" s="117" t="s">
        <v>515</v>
      </c>
      <c r="D25" s="93"/>
      <c r="E25" s="93"/>
      <c r="F25" s="93"/>
      <c r="G25" s="93"/>
      <c r="H25" s="93"/>
      <c r="I25" s="93"/>
      <c r="J25" s="93"/>
      <c r="K25" s="94"/>
      <c r="M25" s="57"/>
      <c r="N25" s="58" t="s">
        <v>46</v>
      </c>
      <c r="O25" s="58"/>
      <c r="P25" s="59"/>
    </row>
    <row r="26" spans="2:18" ht="32.25" customHeight="1">
      <c r="B26" s="41">
        <v>4</v>
      </c>
      <c r="C26" s="117" t="s">
        <v>516</v>
      </c>
      <c r="D26" s="93"/>
      <c r="E26" s="93"/>
      <c r="F26" s="93"/>
      <c r="G26" s="93"/>
      <c r="H26" s="93"/>
      <c r="I26" s="93"/>
      <c r="J26" s="93"/>
      <c r="K26" s="94"/>
      <c r="M26" s="57" t="s">
        <v>46</v>
      </c>
      <c r="N26" s="58"/>
      <c r="O26" s="58"/>
      <c r="P26" s="59"/>
    </row>
    <row r="27" spans="2:18" ht="32.25" customHeight="1">
      <c r="B27" s="41">
        <v>5</v>
      </c>
      <c r="C27" s="117" t="s">
        <v>517</v>
      </c>
      <c r="D27" s="93"/>
      <c r="E27" s="93"/>
      <c r="F27" s="93"/>
      <c r="G27" s="93"/>
      <c r="H27" s="93"/>
      <c r="I27" s="93"/>
      <c r="J27" s="93"/>
      <c r="K27" s="94"/>
      <c r="L27" s="42"/>
      <c r="M27" s="57"/>
      <c r="N27" s="58" t="s">
        <v>46</v>
      </c>
      <c r="O27" s="58"/>
      <c r="P27" s="59"/>
    </row>
    <row r="28" spans="2:18" ht="32.25" customHeight="1">
      <c r="B28" s="41">
        <v>6</v>
      </c>
      <c r="C28" s="117" t="s">
        <v>518</v>
      </c>
      <c r="D28" s="93"/>
      <c r="E28" s="93"/>
      <c r="F28" s="93"/>
      <c r="G28" s="93"/>
      <c r="H28" s="93"/>
      <c r="I28" s="93"/>
      <c r="J28" s="93"/>
      <c r="K28" s="94"/>
      <c r="L28" s="46"/>
      <c r="M28" s="57"/>
      <c r="N28" s="58" t="s">
        <v>46</v>
      </c>
      <c r="O28" s="58"/>
      <c r="P28" s="59"/>
      <c r="R28" s="47" t="s">
        <v>384</v>
      </c>
    </row>
    <row r="29" spans="2:18" ht="32.25" customHeight="1">
      <c r="B29" s="35">
        <v>7</v>
      </c>
      <c r="C29" s="117" t="s">
        <v>519</v>
      </c>
      <c r="D29" s="93"/>
      <c r="E29" s="93"/>
      <c r="F29" s="93"/>
      <c r="G29" s="93"/>
      <c r="H29" s="93"/>
      <c r="I29" s="93"/>
      <c r="J29" s="93"/>
      <c r="K29" s="94"/>
      <c r="L29" s="46"/>
      <c r="M29" s="57"/>
      <c r="N29" s="58" t="s">
        <v>46</v>
      </c>
      <c r="O29" s="58"/>
      <c r="P29" s="59"/>
    </row>
    <row r="30" spans="2:18" ht="32.25" customHeight="1">
      <c r="B30" s="41">
        <v>8</v>
      </c>
      <c r="C30" s="117" t="s">
        <v>520</v>
      </c>
      <c r="D30" s="93"/>
      <c r="E30" s="93"/>
      <c r="F30" s="93"/>
      <c r="G30" s="93"/>
      <c r="H30" s="93"/>
      <c r="I30" s="93"/>
      <c r="J30" s="93"/>
      <c r="K30" s="94"/>
      <c r="L30" s="46"/>
      <c r="M30" s="57"/>
      <c r="N30" s="58" t="s">
        <v>46</v>
      </c>
      <c r="O30" s="58"/>
      <c r="P30" s="59"/>
    </row>
    <row r="31" spans="2:18" ht="32.25" customHeight="1">
      <c r="B31" s="41">
        <v>9</v>
      </c>
      <c r="C31" s="117" t="s">
        <v>521</v>
      </c>
      <c r="D31" s="93"/>
      <c r="E31" s="93"/>
      <c r="F31" s="93"/>
      <c r="G31" s="93"/>
      <c r="H31" s="93"/>
      <c r="I31" s="93"/>
      <c r="J31" s="93"/>
      <c r="K31" s="94"/>
      <c r="L31" s="46"/>
      <c r="M31" s="57"/>
      <c r="N31" s="58" t="s">
        <v>46</v>
      </c>
      <c r="O31" s="58"/>
      <c r="P31" s="59"/>
    </row>
    <row r="32" spans="2:18" ht="32.25" customHeight="1">
      <c r="B32" s="41">
        <v>10</v>
      </c>
      <c r="C32" s="117" t="s">
        <v>522</v>
      </c>
      <c r="D32" s="93"/>
      <c r="E32" s="93"/>
      <c r="F32" s="93"/>
      <c r="G32" s="93"/>
      <c r="H32" s="93"/>
      <c r="I32" s="93"/>
      <c r="J32" s="93"/>
      <c r="K32" s="94"/>
      <c r="L32" s="46"/>
      <c r="M32" s="57"/>
      <c r="N32" s="58" t="s">
        <v>46</v>
      </c>
      <c r="O32" s="58"/>
      <c r="P32" s="59"/>
      <c r="R32" s="47" t="s">
        <v>384</v>
      </c>
    </row>
    <row r="33" spans="2:16" ht="32.25" customHeight="1">
      <c r="B33" s="41">
        <v>11</v>
      </c>
      <c r="C33" s="117"/>
      <c r="D33" s="93"/>
      <c r="E33" s="93"/>
      <c r="F33" s="93"/>
      <c r="G33" s="93"/>
      <c r="H33" s="93"/>
      <c r="I33" s="93"/>
      <c r="J33" s="93"/>
      <c r="K33" s="94"/>
      <c r="L33" s="46"/>
      <c r="M33" s="57"/>
      <c r="N33" s="58"/>
      <c r="O33" s="58"/>
      <c r="P33" s="59"/>
    </row>
    <row r="34" spans="2:16" ht="32.25" customHeight="1">
      <c r="B34" s="35">
        <v>12</v>
      </c>
      <c r="C34" s="117"/>
      <c r="D34" s="93"/>
      <c r="E34" s="93"/>
      <c r="F34" s="93"/>
      <c r="G34" s="93"/>
      <c r="H34" s="93"/>
      <c r="I34" s="93"/>
      <c r="J34" s="93"/>
      <c r="K34" s="94"/>
      <c r="L34" s="46"/>
      <c r="M34" s="57"/>
      <c r="N34" s="58"/>
      <c r="O34" s="58"/>
      <c r="P34" s="59"/>
    </row>
    <row r="35" spans="2:16" ht="32.25" customHeight="1">
      <c r="B35" s="41">
        <v>13</v>
      </c>
      <c r="C35" s="117"/>
      <c r="D35" s="93"/>
      <c r="E35" s="93"/>
      <c r="F35" s="93"/>
      <c r="G35" s="93"/>
      <c r="H35" s="93"/>
      <c r="I35" s="93"/>
      <c r="J35" s="93"/>
      <c r="K35" s="94"/>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s>
  <hyperlinks>
    <hyperlink ref="V2" location="'REQ. FUN. GEN'!A1" display="Volver" xr:uid="{00000000-0004-0000-1C00-000000000000}"/>
  </hyperlink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V1000"/>
  <sheetViews>
    <sheetView topLeftCell="A15" workbookViewId="0"/>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32</v>
      </c>
      <c r="C2" s="126" t="s">
        <v>33</v>
      </c>
      <c r="D2" s="104"/>
      <c r="E2" s="104"/>
      <c r="F2" s="104"/>
      <c r="G2" s="104"/>
      <c r="V2" s="50" t="s">
        <v>13</v>
      </c>
    </row>
    <row r="3" spans="2:22" ht="14.25" customHeight="1">
      <c r="B3" s="30" t="s">
        <v>34</v>
      </c>
      <c r="C3" s="126" t="s">
        <v>35</v>
      </c>
      <c r="D3" s="104"/>
      <c r="E3" s="104"/>
      <c r="F3" s="104"/>
      <c r="G3" s="104"/>
    </row>
    <row r="4" spans="2:22" ht="14.25" customHeight="1">
      <c r="B4" s="30" t="s">
        <v>36</v>
      </c>
      <c r="C4" s="126" t="s">
        <v>37</v>
      </c>
      <c r="D4" s="104"/>
      <c r="E4" s="104"/>
      <c r="F4" s="104"/>
      <c r="G4" s="104"/>
    </row>
    <row r="5" spans="2:22" ht="14.25" customHeight="1">
      <c r="B5" s="127" t="s">
        <v>38</v>
      </c>
      <c r="C5" s="104"/>
      <c r="D5" s="32" t="s">
        <v>39</v>
      </c>
      <c r="E5" s="32"/>
      <c r="F5" s="32"/>
      <c r="G5" s="33"/>
    </row>
    <row r="6" spans="2:22" ht="14.25" customHeight="1">
      <c r="B6" s="29"/>
    </row>
    <row r="7" spans="2:22" ht="14.25" customHeight="1">
      <c r="B7" s="34" t="s">
        <v>40</v>
      </c>
    </row>
    <row r="8" spans="2:22" ht="14.25" customHeight="1">
      <c r="B8" s="29"/>
      <c r="M8" s="128" t="s">
        <v>41</v>
      </c>
      <c r="N8" s="129"/>
      <c r="O8" s="130"/>
      <c r="P8" s="123" t="s">
        <v>42</v>
      </c>
    </row>
    <row r="9" spans="2:22" ht="14.25" customHeight="1">
      <c r="B9" s="35"/>
      <c r="C9" s="135" t="s">
        <v>523</v>
      </c>
      <c r="D9" s="99"/>
      <c r="E9" s="99"/>
      <c r="F9" s="99"/>
      <c r="G9" s="99"/>
      <c r="H9" s="99"/>
      <c r="I9" s="99"/>
      <c r="J9" s="100"/>
      <c r="K9" s="36"/>
      <c r="M9" s="37" t="s">
        <v>32</v>
      </c>
      <c r="N9" s="38" t="s">
        <v>34</v>
      </c>
      <c r="O9" s="38" t="s">
        <v>36</v>
      </c>
      <c r="P9" s="124"/>
    </row>
    <row r="10" spans="2:22" ht="14.25" customHeight="1">
      <c r="B10" s="39"/>
    </row>
    <row r="11" spans="2:22" ht="14.25" customHeight="1">
      <c r="B11" s="40"/>
      <c r="C11" s="120"/>
      <c r="D11" s="109"/>
      <c r="E11" s="110"/>
      <c r="F11" s="36"/>
      <c r="G11" s="36"/>
      <c r="H11" s="36"/>
      <c r="I11" s="36"/>
      <c r="J11" s="36"/>
      <c r="K11" s="36"/>
    </row>
    <row r="12" spans="2:22" ht="32.25" customHeight="1">
      <c r="B12" s="41">
        <v>1</v>
      </c>
      <c r="C12" s="117"/>
      <c r="D12" s="93"/>
      <c r="E12" s="93"/>
      <c r="F12" s="93"/>
      <c r="G12" s="93"/>
      <c r="H12" s="93"/>
      <c r="I12" s="93"/>
      <c r="J12" s="93"/>
      <c r="K12" s="94"/>
      <c r="L12" s="42"/>
      <c r="M12" s="57"/>
      <c r="N12" s="58"/>
      <c r="O12" s="58"/>
      <c r="P12" s="59"/>
    </row>
    <row r="13" spans="2:22" ht="32.25" customHeight="1">
      <c r="B13" s="35">
        <v>2</v>
      </c>
      <c r="C13" s="117"/>
      <c r="D13" s="93"/>
      <c r="E13" s="93"/>
      <c r="F13" s="93"/>
      <c r="G13" s="93"/>
      <c r="H13" s="93"/>
      <c r="I13" s="93"/>
      <c r="J13" s="93"/>
      <c r="K13" s="94"/>
      <c r="L13" s="44"/>
      <c r="M13" s="57"/>
      <c r="N13" s="58"/>
      <c r="O13" s="58"/>
      <c r="P13" s="59"/>
    </row>
    <row r="14" spans="2:22" ht="32.25" customHeight="1">
      <c r="B14" s="41">
        <v>3</v>
      </c>
      <c r="C14" s="117"/>
      <c r="D14" s="93"/>
      <c r="E14" s="93"/>
      <c r="F14" s="93"/>
      <c r="G14" s="93"/>
      <c r="H14" s="93"/>
      <c r="I14" s="93"/>
      <c r="J14" s="93"/>
      <c r="K14" s="94"/>
      <c r="M14" s="57"/>
      <c r="N14" s="58"/>
      <c r="O14" s="58"/>
      <c r="P14" s="59"/>
    </row>
    <row r="15" spans="2:22" ht="32.25" customHeight="1">
      <c r="B15" s="41">
        <v>4</v>
      </c>
      <c r="C15" s="117"/>
      <c r="D15" s="93"/>
      <c r="E15" s="93"/>
      <c r="F15" s="93"/>
      <c r="G15" s="93"/>
      <c r="H15" s="93"/>
      <c r="I15" s="93"/>
      <c r="J15" s="93"/>
      <c r="K15" s="94"/>
      <c r="M15" s="57"/>
      <c r="N15" s="58"/>
      <c r="O15" s="58"/>
      <c r="P15" s="59"/>
    </row>
    <row r="16" spans="2:22" ht="32.25" customHeight="1">
      <c r="B16" s="41">
        <v>5</v>
      </c>
      <c r="C16" s="117"/>
      <c r="D16" s="93"/>
      <c r="E16" s="93"/>
      <c r="F16" s="93"/>
      <c r="G16" s="93"/>
      <c r="H16" s="93"/>
      <c r="I16" s="93"/>
      <c r="J16" s="93"/>
      <c r="K16" s="94"/>
      <c r="L16" s="42"/>
      <c r="M16" s="57"/>
      <c r="N16" s="58"/>
      <c r="O16" s="58"/>
      <c r="P16" s="59"/>
    </row>
    <row r="17" spans="2:16" ht="32.25" customHeight="1">
      <c r="B17" s="35">
        <v>6</v>
      </c>
      <c r="C17" s="117"/>
      <c r="D17" s="93"/>
      <c r="E17" s="93"/>
      <c r="F17" s="93"/>
      <c r="G17" s="93"/>
      <c r="H17" s="93"/>
      <c r="I17" s="93"/>
      <c r="J17" s="93"/>
      <c r="K17" s="94"/>
      <c r="L17" s="44"/>
      <c r="M17" s="57"/>
      <c r="N17" s="58"/>
      <c r="O17" s="58"/>
      <c r="P17" s="59"/>
    </row>
    <row r="18" spans="2:16" ht="14.25" customHeight="1"/>
    <row r="19" spans="2:16" ht="14.25" customHeight="1"/>
    <row r="20" spans="2:16" ht="14.25" customHeight="1">
      <c r="B20" s="35"/>
      <c r="C20" s="125" t="s">
        <v>524</v>
      </c>
      <c r="D20" s="99"/>
      <c r="E20" s="99"/>
      <c r="F20" s="99"/>
      <c r="G20" s="99"/>
      <c r="H20" s="99"/>
      <c r="I20" s="99"/>
      <c r="J20" s="100"/>
      <c r="K20" s="36"/>
    </row>
    <row r="21" spans="2:16" ht="14.25" customHeight="1"/>
    <row r="22" spans="2:16" ht="14.25" customHeight="1">
      <c r="B22" s="35"/>
      <c r="C22" s="125"/>
      <c r="D22" s="99"/>
      <c r="E22" s="99"/>
      <c r="F22" s="99"/>
      <c r="G22" s="99"/>
      <c r="H22" s="99"/>
      <c r="I22" s="99"/>
      <c r="J22" s="100"/>
      <c r="K22" s="36"/>
    </row>
    <row r="23" spans="2:16" ht="32.25" customHeight="1">
      <c r="B23" s="41">
        <v>1</v>
      </c>
      <c r="C23" s="117" t="s">
        <v>525</v>
      </c>
      <c r="D23" s="93"/>
      <c r="E23" s="93"/>
      <c r="F23" s="93"/>
      <c r="G23" s="93"/>
      <c r="H23" s="93"/>
      <c r="I23" s="93"/>
      <c r="J23" s="93"/>
      <c r="K23" s="94"/>
      <c r="L23" s="42"/>
      <c r="M23" s="57"/>
      <c r="N23" s="58" t="s">
        <v>46</v>
      </c>
      <c r="O23" s="58"/>
      <c r="P23" s="59"/>
    </row>
    <row r="24" spans="2:16" ht="32.25" customHeight="1">
      <c r="B24" s="35">
        <v>2</v>
      </c>
      <c r="C24" s="117" t="s">
        <v>526</v>
      </c>
      <c r="D24" s="93"/>
      <c r="E24" s="93"/>
      <c r="F24" s="93"/>
      <c r="G24" s="93"/>
      <c r="H24" s="93"/>
      <c r="I24" s="93"/>
      <c r="J24" s="93"/>
      <c r="K24" s="94"/>
      <c r="L24" s="44"/>
      <c r="M24" s="57"/>
      <c r="N24" s="58" t="s">
        <v>46</v>
      </c>
      <c r="O24" s="58"/>
      <c r="P24" s="59"/>
    </row>
    <row r="25" spans="2:16" ht="32.25" customHeight="1">
      <c r="B25" s="41">
        <v>3</v>
      </c>
      <c r="C25" s="117" t="s">
        <v>527</v>
      </c>
      <c r="D25" s="93"/>
      <c r="E25" s="93"/>
      <c r="F25" s="93"/>
      <c r="G25" s="93"/>
      <c r="H25" s="93"/>
      <c r="I25" s="93"/>
      <c r="J25" s="93"/>
      <c r="K25" s="94"/>
      <c r="M25" s="57"/>
      <c r="N25" s="58" t="s">
        <v>46</v>
      </c>
      <c r="O25" s="58"/>
      <c r="P25" s="59"/>
    </row>
    <row r="26" spans="2:16" ht="32.25" customHeight="1">
      <c r="B26" s="41">
        <v>4</v>
      </c>
      <c r="C26" s="117" t="s">
        <v>528</v>
      </c>
      <c r="D26" s="93"/>
      <c r="E26" s="93"/>
      <c r="F26" s="93"/>
      <c r="G26" s="93"/>
      <c r="H26" s="93"/>
      <c r="I26" s="93"/>
      <c r="J26" s="93"/>
      <c r="K26" s="94"/>
      <c r="M26" s="57"/>
      <c r="N26" s="58" t="s">
        <v>46</v>
      </c>
      <c r="O26" s="58"/>
      <c r="P26" s="59"/>
    </row>
    <row r="27" spans="2:16" ht="32.25" customHeight="1">
      <c r="B27" s="41">
        <v>5</v>
      </c>
      <c r="C27" s="117" t="s">
        <v>529</v>
      </c>
      <c r="D27" s="93"/>
      <c r="E27" s="93"/>
      <c r="F27" s="93"/>
      <c r="G27" s="93"/>
      <c r="H27" s="93"/>
      <c r="I27" s="93"/>
      <c r="J27" s="93"/>
      <c r="K27" s="94"/>
      <c r="L27" s="42"/>
      <c r="M27" s="57"/>
      <c r="N27" s="58" t="s">
        <v>46</v>
      </c>
      <c r="O27" s="58"/>
      <c r="P27" s="59"/>
    </row>
    <row r="28" spans="2:16" ht="32.25" customHeight="1">
      <c r="B28" s="41">
        <v>6</v>
      </c>
      <c r="C28" s="117"/>
      <c r="D28" s="93"/>
      <c r="E28" s="93"/>
      <c r="F28" s="93"/>
      <c r="G28" s="93"/>
      <c r="H28" s="93"/>
      <c r="I28" s="93"/>
      <c r="J28" s="93"/>
      <c r="K28" s="94"/>
      <c r="L28" s="46"/>
      <c r="M28" s="57"/>
      <c r="N28" s="58"/>
      <c r="O28" s="58"/>
      <c r="P28" s="59"/>
    </row>
    <row r="29" spans="2:16" ht="32.25" customHeight="1">
      <c r="B29" s="35">
        <v>7</v>
      </c>
      <c r="C29" s="117"/>
      <c r="D29" s="93"/>
      <c r="E29" s="93"/>
      <c r="F29" s="93"/>
      <c r="G29" s="93"/>
      <c r="H29" s="93"/>
      <c r="I29" s="93"/>
      <c r="J29" s="93"/>
      <c r="K29" s="94"/>
      <c r="L29" s="46"/>
      <c r="M29" s="57"/>
      <c r="N29" s="58"/>
      <c r="O29" s="58"/>
      <c r="P29" s="59"/>
    </row>
    <row r="30" spans="2:16" ht="32.25" customHeight="1">
      <c r="B30" s="41">
        <v>8</v>
      </c>
      <c r="C30" s="117"/>
      <c r="D30" s="93"/>
      <c r="E30" s="93"/>
      <c r="F30" s="93"/>
      <c r="G30" s="93"/>
      <c r="H30" s="93"/>
      <c r="I30" s="93"/>
      <c r="J30" s="93"/>
      <c r="K30" s="94"/>
      <c r="L30" s="46"/>
      <c r="M30" s="57"/>
      <c r="N30" s="58"/>
      <c r="O30" s="58"/>
      <c r="P30" s="59"/>
    </row>
    <row r="31" spans="2:16" ht="32.25" customHeight="1">
      <c r="B31" s="41">
        <v>9</v>
      </c>
      <c r="C31" s="117"/>
      <c r="D31" s="93"/>
      <c r="E31" s="93"/>
      <c r="F31" s="93"/>
      <c r="G31" s="93"/>
      <c r="H31" s="93"/>
      <c r="I31" s="93"/>
      <c r="J31" s="93"/>
      <c r="K31" s="94"/>
      <c r="L31" s="46"/>
      <c r="M31" s="57"/>
      <c r="N31" s="58"/>
      <c r="O31" s="58"/>
      <c r="P31" s="59"/>
    </row>
    <row r="32" spans="2:16" ht="32.25" customHeight="1">
      <c r="B32" s="41">
        <v>10</v>
      </c>
      <c r="C32" s="117"/>
      <c r="D32" s="93"/>
      <c r="E32" s="93"/>
      <c r="F32" s="93"/>
      <c r="G32" s="93"/>
      <c r="H32" s="93"/>
      <c r="I32" s="93"/>
      <c r="J32" s="93"/>
      <c r="K32" s="94"/>
      <c r="L32" s="46"/>
      <c r="M32" s="57"/>
      <c r="N32" s="58"/>
      <c r="O32" s="58"/>
      <c r="P32" s="59"/>
    </row>
    <row r="33" spans="2:16" ht="32.25" customHeight="1">
      <c r="B33" s="41">
        <v>11</v>
      </c>
      <c r="C33" s="117"/>
      <c r="D33" s="93"/>
      <c r="E33" s="93"/>
      <c r="F33" s="93"/>
      <c r="G33" s="93"/>
      <c r="H33" s="93"/>
      <c r="I33" s="93"/>
      <c r="J33" s="93"/>
      <c r="K33" s="94"/>
      <c r="L33" s="46"/>
      <c r="M33" s="57"/>
      <c r="N33" s="58"/>
      <c r="O33" s="58"/>
      <c r="P33" s="59"/>
    </row>
    <row r="34" spans="2:16" ht="32.25" customHeight="1">
      <c r="B34" s="35">
        <v>12</v>
      </c>
      <c r="C34" s="117"/>
      <c r="D34" s="93"/>
      <c r="E34" s="93"/>
      <c r="F34" s="93"/>
      <c r="G34" s="93"/>
      <c r="H34" s="93"/>
      <c r="I34" s="93"/>
      <c r="J34" s="93"/>
      <c r="K34" s="94"/>
      <c r="L34" s="46"/>
      <c r="M34" s="57"/>
      <c r="N34" s="58"/>
      <c r="O34" s="58"/>
      <c r="P34" s="59"/>
    </row>
    <row r="35" spans="2:16" ht="32.25" customHeight="1">
      <c r="B35" s="41">
        <v>13</v>
      </c>
      <c r="C35" s="117"/>
      <c r="D35" s="93"/>
      <c r="E35" s="93"/>
      <c r="F35" s="93"/>
      <c r="G35" s="93"/>
      <c r="H35" s="93"/>
      <c r="I35" s="93"/>
      <c r="J35" s="93"/>
      <c r="K35" s="94"/>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s>
  <hyperlinks>
    <hyperlink ref="V2" location="'REQ. NO FUN. GEN'!A1" display="Volver" xr:uid="{00000000-0004-0000-1D00-000000000000}"/>
  </hyperlinks>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T1000"/>
  <sheetViews>
    <sheetView workbookViewId="0">
      <selection activeCell="T2" sqref="T2"/>
    </sheetView>
  </sheetViews>
  <sheetFormatPr baseColWidth="10" defaultColWidth="12.5703125" defaultRowHeight="15" customHeight="1"/>
  <cols>
    <col min="1" max="13" width="10.5703125" customWidth="1"/>
    <col min="14" max="15" width="15.7109375" customWidth="1"/>
    <col min="16" max="16" width="31.42578125" customWidth="1"/>
    <col min="17" max="17" width="15.7109375" customWidth="1"/>
    <col min="18" max="26" width="10.5703125" customWidth="1"/>
  </cols>
  <sheetData>
    <row r="1" spans="2:20" ht="14.25" customHeight="1"/>
    <row r="2" spans="2:20" ht="14.25" customHeight="1">
      <c r="B2" s="136" t="s">
        <v>530</v>
      </c>
      <c r="C2" s="93"/>
      <c r="D2" s="94"/>
      <c r="F2" s="136" t="s">
        <v>531</v>
      </c>
      <c r="G2" s="93"/>
      <c r="H2" s="94"/>
      <c r="J2" s="136" t="s">
        <v>532</v>
      </c>
      <c r="K2" s="93"/>
      <c r="L2" s="94"/>
      <c r="N2" s="136" t="s">
        <v>533</v>
      </c>
      <c r="O2" s="93"/>
      <c r="P2" s="94"/>
      <c r="Q2" s="47"/>
      <c r="T2" s="50" t="s">
        <v>13</v>
      </c>
    </row>
    <row r="3" spans="2:20" ht="14.25" customHeight="1"/>
    <row r="4" spans="2:20" ht="29.25" customHeight="1">
      <c r="B4" s="47" t="s">
        <v>534</v>
      </c>
      <c r="F4" s="47" t="s">
        <v>535</v>
      </c>
      <c r="J4" s="47" t="s">
        <v>536</v>
      </c>
      <c r="N4" s="137" t="s">
        <v>537</v>
      </c>
      <c r="O4" s="138"/>
      <c r="P4" s="138"/>
      <c r="Q4" s="70"/>
    </row>
    <row r="5" spans="2:20" ht="14.25" customHeight="1">
      <c r="B5" s="47" t="s">
        <v>538</v>
      </c>
      <c r="F5" s="47" t="s">
        <v>539</v>
      </c>
      <c r="J5" s="47" t="s">
        <v>540</v>
      </c>
      <c r="N5" s="139" t="s">
        <v>541</v>
      </c>
      <c r="O5" s="139"/>
      <c r="P5" s="139"/>
      <c r="Q5" s="70"/>
    </row>
    <row r="6" spans="2:20" ht="14.25" customHeight="1">
      <c r="B6" s="47" t="s">
        <v>542</v>
      </c>
      <c r="F6" s="47" t="s">
        <v>543</v>
      </c>
      <c r="J6" s="47" t="s">
        <v>544</v>
      </c>
      <c r="N6" s="139" t="s">
        <v>545</v>
      </c>
      <c r="O6" s="139"/>
      <c r="P6" s="139"/>
      <c r="Q6" s="70" t="s">
        <v>702</v>
      </c>
    </row>
    <row r="7" spans="2:20" ht="14.25" customHeight="1">
      <c r="B7" s="47" t="s">
        <v>546</v>
      </c>
      <c r="F7" s="47" t="s">
        <v>547</v>
      </c>
      <c r="J7" s="47" t="s">
        <v>548</v>
      </c>
      <c r="N7" s="139" t="s">
        <v>549</v>
      </c>
      <c r="O7" s="139"/>
      <c r="P7" s="139"/>
      <c r="Q7" s="71" t="s">
        <v>702</v>
      </c>
    </row>
    <row r="8" spans="2:20" ht="14.25" customHeight="1">
      <c r="B8" s="47" t="s">
        <v>550</v>
      </c>
      <c r="F8" s="47" t="s">
        <v>551</v>
      </c>
      <c r="J8" s="47" t="s">
        <v>552</v>
      </c>
      <c r="N8" s="139" t="s">
        <v>553</v>
      </c>
      <c r="O8" s="139"/>
      <c r="P8" s="139"/>
      <c r="Q8" s="70" t="s">
        <v>702</v>
      </c>
    </row>
    <row r="9" spans="2:20" ht="14.25" customHeight="1">
      <c r="B9" s="47" t="s">
        <v>554</v>
      </c>
      <c r="F9" s="47" t="s">
        <v>555</v>
      </c>
      <c r="J9" s="47" t="s">
        <v>556</v>
      </c>
      <c r="N9" s="139" t="s">
        <v>557</v>
      </c>
      <c r="O9" s="139"/>
      <c r="P9" s="139"/>
      <c r="Q9" s="70" t="s">
        <v>778</v>
      </c>
    </row>
    <row r="10" spans="2:20" ht="14.25" customHeight="1">
      <c r="B10" s="47" t="s">
        <v>558</v>
      </c>
      <c r="F10" s="47" t="s">
        <v>559</v>
      </c>
      <c r="J10" s="47" t="s">
        <v>560</v>
      </c>
    </row>
    <row r="11" spans="2:20" ht="14.25" customHeight="1">
      <c r="B11" s="47" t="s">
        <v>561</v>
      </c>
      <c r="F11" s="47" t="s">
        <v>562</v>
      </c>
      <c r="J11" s="47" t="s">
        <v>563</v>
      </c>
    </row>
    <row r="12" spans="2:20" ht="14.25" customHeight="1">
      <c r="B12" s="47" t="s">
        <v>564</v>
      </c>
      <c r="F12" s="47" t="s">
        <v>565</v>
      </c>
      <c r="J12" s="47" t="s">
        <v>566</v>
      </c>
    </row>
    <row r="13" spans="2:20" ht="14.25" customHeight="1">
      <c r="B13" s="47" t="s">
        <v>567</v>
      </c>
      <c r="F13" s="47" t="s">
        <v>568</v>
      </c>
      <c r="J13" s="47" t="s">
        <v>569</v>
      </c>
    </row>
    <row r="14" spans="2:20" ht="14.25" customHeight="1">
      <c r="B14" s="47" t="s">
        <v>570</v>
      </c>
      <c r="F14" s="47" t="s">
        <v>571</v>
      </c>
      <c r="J14" s="47" t="s">
        <v>572</v>
      </c>
    </row>
    <row r="15" spans="2:20" ht="14.25" customHeight="1">
      <c r="B15" s="47" t="s">
        <v>573</v>
      </c>
      <c r="F15" s="47" t="s">
        <v>574</v>
      </c>
      <c r="J15" s="47" t="s">
        <v>575</v>
      </c>
    </row>
    <row r="16" spans="2:20" ht="14.25" customHeight="1">
      <c r="B16" s="47" t="s">
        <v>576</v>
      </c>
      <c r="F16" s="47" t="s">
        <v>577</v>
      </c>
      <c r="J16" s="47" t="s">
        <v>578</v>
      </c>
    </row>
    <row r="17" spans="2:10" ht="14.25" customHeight="1">
      <c r="B17" s="47" t="s">
        <v>579</v>
      </c>
      <c r="F17" s="47" t="s">
        <v>580</v>
      </c>
      <c r="J17" s="47" t="s">
        <v>581</v>
      </c>
    </row>
    <row r="18" spans="2:10" ht="14.25" customHeight="1">
      <c r="B18" s="47" t="s">
        <v>582</v>
      </c>
      <c r="F18" s="47" t="s">
        <v>583</v>
      </c>
      <c r="J18" s="47" t="s">
        <v>584</v>
      </c>
    </row>
    <row r="19" spans="2:10" ht="14.25" customHeight="1">
      <c r="B19" s="47" t="s">
        <v>585</v>
      </c>
      <c r="F19" s="47" t="s">
        <v>586</v>
      </c>
      <c r="J19" s="47" t="s">
        <v>587</v>
      </c>
    </row>
    <row r="20" spans="2:10" ht="14.25" customHeight="1">
      <c r="B20" s="47" t="s">
        <v>588</v>
      </c>
      <c r="F20" s="47" t="s">
        <v>589</v>
      </c>
      <c r="J20" s="47" t="s">
        <v>590</v>
      </c>
    </row>
    <row r="21" spans="2:10" ht="14.25" customHeight="1">
      <c r="B21" s="47" t="s">
        <v>591</v>
      </c>
      <c r="F21" s="47" t="s">
        <v>592</v>
      </c>
      <c r="J21" s="47" t="s">
        <v>593</v>
      </c>
    </row>
    <row r="22" spans="2:10" ht="14.25" customHeight="1">
      <c r="B22" s="47" t="s">
        <v>594</v>
      </c>
      <c r="F22" s="47" t="s">
        <v>595</v>
      </c>
      <c r="J22" s="47" t="s">
        <v>596</v>
      </c>
    </row>
    <row r="23" spans="2:10" ht="14.25" customHeight="1">
      <c r="B23" s="47" t="s">
        <v>597</v>
      </c>
      <c r="F23" s="47" t="s">
        <v>598</v>
      </c>
      <c r="J23" s="47" t="s">
        <v>599</v>
      </c>
    </row>
    <row r="24" spans="2:10" ht="14.25" customHeight="1">
      <c r="B24" s="47" t="s">
        <v>600</v>
      </c>
      <c r="F24" s="47" t="s">
        <v>601</v>
      </c>
      <c r="J24" s="47" t="s">
        <v>602</v>
      </c>
    </row>
    <row r="25" spans="2:10" ht="14.25" customHeight="1">
      <c r="B25" s="47" t="s">
        <v>603</v>
      </c>
      <c r="F25" s="47" t="s">
        <v>604</v>
      </c>
      <c r="J25" s="47" t="s">
        <v>605</v>
      </c>
    </row>
    <row r="26" spans="2:10" ht="14.25" customHeight="1">
      <c r="B26" s="47" t="s">
        <v>606</v>
      </c>
      <c r="F26" s="47" t="s">
        <v>607</v>
      </c>
      <c r="J26" s="47" t="s">
        <v>608</v>
      </c>
    </row>
    <row r="27" spans="2:10" ht="14.25" customHeight="1">
      <c r="F27" s="47" t="s">
        <v>609</v>
      </c>
      <c r="J27" s="47" t="s">
        <v>610</v>
      </c>
    </row>
    <row r="28" spans="2:10" ht="14.25" customHeight="1">
      <c r="F28" s="47" t="s">
        <v>611</v>
      </c>
      <c r="J28" s="47" t="s">
        <v>612</v>
      </c>
    </row>
    <row r="29" spans="2:10" ht="14.25" customHeight="1">
      <c r="F29" s="47" t="s">
        <v>613</v>
      </c>
      <c r="J29" s="47" t="s">
        <v>614</v>
      </c>
    </row>
    <row r="30" spans="2:10" ht="14.25" customHeight="1">
      <c r="F30" s="47" t="s">
        <v>615</v>
      </c>
      <c r="J30" s="47" t="s">
        <v>616</v>
      </c>
    </row>
    <row r="31" spans="2:10" ht="14.25" customHeight="1">
      <c r="F31" s="47" t="s">
        <v>617</v>
      </c>
      <c r="J31" s="47" t="s">
        <v>618</v>
      </c>
    </row>
    <row r="32" spans="2:10" ht="14.25" customHeight="1">
      <c r="F32" s="47" t="s">
        <v>619</v>
      </c>
      <c r="J32" s="47" t="s">
        <v>620</v>
      </c>
    </row>
    <row r="33" spans="2:10" ht="14.25" customHeight="1">
      <c r="F33" s="47" t="s">
        <v>621</v>
      </c>
      <c r="J33" s="47" t="s">
        <v>622</v>
      </c>
    </row>
    <row r="34" spans="2:10" ht="14.25" customHeight="1">
      <c r="F34" s="47" t="s">
        <v>623</v>
      </c>
    </row>
    <row r="35" spans="2:10" ht="14.25" customHeight="1"/>
    <row r="36" spans="2:10" ht="14.25" customHeight="1"/>
    <row r="37" spans="2:10" ht="14.25" customHeight="1"/>
    <row r="38" spans="2:10" ht="14.25" customHeight="1"/>
    <row r="39" spans="2:10" ht="14.25" customHeight="1">
      <c r="B39" s="47" t="s">
        <v>624</v>
      </c>
    </row>
    <row r="40" spans="2:10" ht="14.25" customHeight="1"/>
    <row r="41" spans="2:10" ht="14.25" customHeight="1"/>
    <row r="42" spans="2:10" ht="14.25" customHeight="1"/>
    <row r="43" spans="2:10" ht="14.25" customHeight="1"/>
    <row r="44" spans="2:10" ht="14.25" customHeight="1"/>
    <row r="45" spans="2:10" ht="14.25" customHeight="1"/>
    <row r="46" spans="2:10" ht="14.25" customHeight="1"/>
    <row r="47" spans="2:10" ht="14.25" customHeight="1"/>
    <row r="48" spans="2: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N5:P5"/>
    <mergeCell ref="N6:P6"/>
    <mergeCell ref="N7:P7"/>
    <mergeCell ref="N8:P8"/>
    <mergeCell ref="N9:P9"/>
    <mergeCell ref="B2:D2"/>
    <mergeCell ref="F2:H2"/>
    <mergeCell ref="J2:L2"/>
    <mergeCell ref="N2:P2"/>
    <mergeCell ref="N4:P4"/>
  </mergeCells>
  <hyperlinks>
    <hyperlink ref="T2" location="GENERAL!A1" display="Volver" xr:uid="{00000000-0004-0000-2600-000000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35</vt:i4>
      </vt:variant>
      <vt:variant>
        <vt:lpstr>Rangos con nombre</vt:lpstr>
      </vt:variant>
      <vt:variant>
        <vt:i4>1</vt:i4>
      </vt:variant>
    </vt:vector>
  </HeadingPairs>
  <TitlesOfParts>
    <vt:vector size="36" baseType="lpstr">
      <vt:lpstr>GENERAL</vt:lpstr>
      <vt:lpstr>REQ. USUARIO</vt:lpstr>
      <vt:lpstr>REQ. FUN. GEN</vt:lpstr>
      <vt:lpstr>REQ. NO FUN. GEN</vt:lpstr>
      <vt:lpstr>REQ. FUN</vt:lpstr>
      <vt:lpstr>REQ. NO FUN</vt:lpstr>
      <vt:lpstr>PAG. WEB - Landing FUN.</vt:lpstr>
      <vt:lpstr>PAG. WEB - Landing NO FUN.</vt:lpstr>
      <vt:lpstr>Inicio de sesión FUN.</vt:lpstr>
      <vt:lpstr>Inicio de sesión NO FUN.</vt:lpstr>
      <vt:lpstr>Registro FUN.</vt:lpstr>
      <vt:lpstr>Registro NO FUN.</vt:lpstr>
      <vt:lpstr>Inf. Personal FUN.</vt:lpstr>
      <vt:lpstr>Inf. Personal NO FUN.</vt:lpstr>
      <vt:lpstr>Panel Admin FUN.</vt:lpstr>
      <vt:lpstr>Panel Admin NO FUN.</vt:lpstr>
      <vt:lpstr>Instrumental FUN.</vt:lpstr>
      <vt:lpstr>Instrumental NO FUN.</vt:lpstr>
      <vt:lpstr>Materia prima FUN.</vt:lpstr>
      <vt:lpstr>Materia prima NO FUN.</vt:lpstr>
      <vt:lpstr>Productos FUN</vt:lpstr>
      <vt:lpstr>Productos NO FUN</vt:lpstr>
      <vt:lpstr>Finanzas FUN</vt:lpstr>
      <vt:lpstr>Finanzas NO FUN</vt:lpstr>
      <vt:lpstr>Historial FUN</vt:lpstr>
      <vt:lpstr>Historial NO FUN.</vt:lpstr>
      <vt:lpstr>Clientes FUN</vt:lpstr>
      <vt:lpstr>Clientes NO FUN.</vt:lpstr>
      <vt:lpstr>Facturación FUN.</vt:lpstr>
      <vt:lpstr>Facturación NO FUN.</vt:lpstr>
      <vt:lpstr>Gestión Usuarios FUN.</vt:lpstr>
      <vt:lpstr>Gestión Usuarios NO FUN.</vt:lpstr>
      <vt:lpstr>Permisos y Menús FUN.</vt:lpstr>
      <vt:lpstr>Permisos y Menús NO FUN.</vt:lpstr>
      <vt:lpstr>INVENTARIO TRANSACCIONAL</vt:lpstr>
      <vt:lpstr>Requerimientos_Instrumental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Barrios</dc:creator>
  <cp:lastModifiedBy>Juan Esteban Barrios Bautista</cp:lastModifiedBy>
  <dcterms:created xsi:type="dcterms:W3CDTF">2025-04-04T20:21:11Z</dcterms:created>
  <dcterms:modified xsi:type="dcterms:W3CDTF">2026-04-28T21:26:13Z</dcterms:modified>
</cp:coreProperties>
</file>